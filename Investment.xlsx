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xr:revisionPtr revIDLastSave="1385" documentId="11_C380EA0251C7A0836B02CE998F2F241A78A18387" xr6:coauthVersionLast="47" xr6:coauthVersionMax="47" xr10:uidLastSave="{FBAF3003-408A-FE44-80AD-A274CAC83647}"/>
  <bookViews>
    <workbookView xWindow="240" yWindow="105" windowWidth="14805" windowHeight="8010" firstSheet="2" activeTab="4" xr2:uid="{00000000-000D-0000-FFFF-FFFF00000000}"/>
  </bookViews>
  <sheets>
    <sheet name="Dashboard" sheetId="5" r:id="rId1"/>
    <sheet name="Analysis" sheetId="4" r:id="rId2"/>
    <sheet name="Portfolio Statement" sheetId="7" r:id="rId3"/>
    <sheet name="Transaction_Clean" sheetId="1" r:id="rId4"/>
    <sheet name="Transaction_Log" sheetId="6" r:id="rId5"/>
  </sheets>
  <definedNames>
    <definedName name="Cash_Position">'Portfolio Statement'!$A$5:$D$14</definedName>
    <definedName name="tbl_transactions_Clean1">Transaction_Clean!$A$1:$Q$30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2" i="1"/>
  <c r="G3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1" i="7" a="1"/>
  <c r="J1" i="7"/>
  <c r="A20" i="7"/>
  <c r="A21" i="7"/>
  <c r="A22" i="7"/>
  <c r="A23" i="7"/>
  <c r="A24" i="7"/>
  <c r="A25" i="7"/>
  <c r="A26" i="7"/>
  <c r="A27" i="7"/>
  <c r="C9" i="7"/>
  <c r="B9" i="7"/>
  <c r="C13" i="7"/>
  <c r="C11" i="7"/>
  <c r="C12" i="7"/>
  <c r="C14" i="7"/>
  <c r="C8" i="7"/>
  <c r="K2" i="1"/>
  <c r="K3" i="1"/>
  <c r="I4" i="1"/>
  <c r="J4" i="1"/>
  <c r="K4" i="1"/>
  <c r="I5" i="1"/>
  <c r="J5" i="1"/>
  <c r="K5" i="1"/>
  <c r="I6" i="1"/>
  <c r="J6" i="1"/>
  <c r="K6" i="1"/>
  <c r="I7" i="1"/>
  <c r="J7" i="1"/>
  <c r="K7" i="1"/>
  <c r="K8" i="1"/>
  <c r="K9" i="1"/>
  <c r="K10" i="1"/>
  <c r="K11" i="1"/>
  <c r="K12" i="1"/>
  <c r="I13" i="1"/>
  <c r="J13" i="1"/>
  <c r="K13" i="1"/>
  <c r="I14" i="1"/>
  <c r="J14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M2" i="1"/>
  <c r="M3" i="1"/>
  <c r="M4" i="1"/>
  <c r="M5" i="1"/>
  <c r="M6" i="1"/>
  <c r="M7" i="1"/>
  <c r="H8" i="1"/>
  <c r="M8" i="1"/>
  <c r="H9" i="1"/>
  <c r="M9" i="1"/>
  <c r="M10" i="1"/>
  <c r="M11" i="1"/>
  <c r="M12" i="1"/>
  <c r="M13" i="1"/>
  <c r="M14" i="1"/>
  <c r="H15" i="1"/>
  <c r="M15" i="1"/>
  <c r="M16" i="1"/>
  <c r="H17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B14" i="7"/>
  <c r="O13" i="1"/>
  <c r="B13" i="7"/>
  <c r="O4" i="1"/>
  <c r="O5" i="1"/>
  <c r="O6" i="1"/>
  <c r="O7" i="1"/>
  <c r="I2" i="1"/>
  <c r="J2" i="1"/>
  <c r="H2" i="1"/>
  <c r="O2" i="1"/>
  <c r="I3" i="1"/>
  <c r="J3" i="1"/>
  <c r="H3" i="1"/>
  <c r="O3" i="1"/>
  <c r="I8" i="1"/>
  <c r="J8" i="1"/>
  <c r="O8" i="1"/>
  <c r="I9" i="1"/>
  <c r="J9" i="1"/>
  <c r="O9" i="1"/>
  <c r="I10" i="1"/>
  <c r="J10" i="1"/>
  <c r="H10" i="1"/>
  <c r="O10" i="1"/>
  <c r="I11" i="1"/>
  <c r="J11" i="1"/>
  <c r="H11" i="1"/>
  <c r="O11" i="1"/>
  <c r="I12" i="1"/>
  <c r="J12" i="1"/>
  <c r="H12" i="1"/>
  <c r="O12" i="1"/>
  <c r="O14" i="1"/>
  <c r="I15" i="1"/>
  <c r="J15" i="1"/>
  <c r="O15" i="1"/>
  <c r="I16" i="1"/>
  <c r="J16" i="1"/>
  <c r="H16" i="1"/>
  <c r="O16" i="1"/>
  <c r="I17" i="1"/>
  <c r="J17" i="1"/>
  <c r="O17" i="1"/>
  <c r="I18" i="1"/>
  <c r="J18" i="1"/>
  <c r="H18" i="1"/>
  <c r="O18" i="1"/>
  <c r="I19" i="1"/>
  <c r="J19" i="1"/>
  <c r="H19" i="1"/>
  <c r="O19" i="1"/>
  <c r="O20" i="1"/>
  <c r="O21" i="1"/>
  <c r="O22" i="1"/>
  <c r="O23" i="1"/>
  <c r="O24" i="1"/>
  <c r="O25" i="1"/>
  <c r="O26" i="1"/>
  <c r="O27" i="1"/>
  <c r="O28" i="1"/>
  <c r="O29" i="1"/>
  <c r="O30" i="1"/>
  <c r="B12" i="7"/>
  <c r="B11" i="7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B8" i="7"/>
  <c r="B10" i="7"/>
  <c r="P2" i="1"/>
  <c r="P30" i="1"/>
  <c r="P29" i="1"/>
  <c r="P2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B6" i="7" a="1"/>
  <c r="B6" i="7"/>
  <c r="Q29" i="1"/>
  <c r="Q3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C19" i="1"/>
  <c r="C20" i="1"/>
  <c r="C21" i="1"/>
  <c r="C22" i="1"/>
  <c r="C23" i="1"/>
  <c r="C24" i="1"/>
  <c r="C25" i="1"/>
  <c r="C26" i="1"/>
  <c r="C27" i="1"/>
  <c r="C28" i="1"/>
  <c r="C29" i="1"/>
  <c r="C30" i="1"/>
  <c r="D19" i="1"/>
  <c r="D20" i="1"/>
  <c r="D21" i="1"/>
  <c r="D22" i="1"/>
  <c r="D23" i="1"/>
  <c r="D24" i="1"/>
  <c r="D25" i="1"/>
  <c r="D26" i="1"/>
  <c r="D27" i="1"/>
  <c r="D28" i="1"/>
  <c r="D29" i="1"/>
  <c r="D30" i="1"/>
  <c r="H20" i="1"/>
  <c r="H21" i="1"/>
  <c r="H22" i="1"/>
  <c r="H23" i="1"/>
  <c r="H24" i="1"/>
  <c r="H25" i="1"/>
  <c r="H26" i="1"/>
  <c r="H27" i="1"/>
  <c r="H28" i="1"/>
  <c r="H29" i="1"/>
  <c r="H30" i="1"/>
  <c r="I20" i="1"/>
  <c r="I21" i="1"/>
  <c r="I22" i="1"/>
  <c r="I23" i="1"/>
  <c r="I24" i="1"/>
  <c r="I25" i="1"/>
  <c r="I26" i="1"/>
  <c r="I27" i="1"/>
  <c r="I28" i="1"/>
  <c r="I29" i="1"/>
  <c r="I30" i="1"/>
  <c r="J20" i="1"/>
  <c r="J21" i="1"/>
  <c r="J22" i="1"/>
  <c r="J23" i="1"/>
  <c r="J24" i="1"/>
  <c r="J25" i="1"/>
  <c r="J26" i="1"/>
  <c r="J27" i="1"/>
  <c r="J28" i="1"/>
  <c r="J29" i="1"/>
  <c r="J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H4" i="1"/>
  <c r="H5" i="1"/>
  <c r="H6" i="1"/>
  <c r="H7" i="1"/>
  <c r="H13" i="1"/>
  <c r="H14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N80" i="1"/>
  <c r="L80" i="1"/>
  <c r="K80" i="1"/>
  <c r="M80" i="1"/>
  <c r="N79" i="1"/>
  <c r="L79" i="1"/>
  <c r="K79" i="1"/>
  <c r="M79" i="1"/>
  <c r="N78" i="1"/>
  <c r="L78" i="1"/>
  <c r="K78" i="1"/>
  <c r="M78" i="1"/>
  <c r="N77" i="1"/>
  <c r="L77" i="1"/>
  <c r="K77" i="1"/>
  <c r="M77" i="1"/>
  <c r="N76" i="1"/>
  <c r="L76" i="1"/>
  <c r="K76" i="1"/>
  <c r="M76" i="1"/>
  <c r="N75" i="1"/>
  <c r="L75" i="1"/>
  <c r="K75" i="1"/>
  <c r="M75" i="1"/>
  <c r="N74" i="1"/>
  <c r="L74" i="1"/>
  <c r="K74" i="1"/>
  <c r="M74" i="1"/>
  <c r="N73" i="1"/>
  <c r="L73" i="1"/>
  <c r="K73" i="1"/>
  <c r="M73" i="1"/>
  <c r="N72" i="1"/>
  <c r="L72" i="1"/>
  <c r="K72" i="1"/>
  <c r="M72" i="1"/>
  <c r="N71" i="1"/>
  <c r="K71" i="1"/>
  <c r="M71" i="1"/>
  <c r="N70" i="1"/>
  <c r="K70" i="1"/>
  <c r="M70" i="1"/>
  <c r="N69" i="1"/>
  <c r="K69" i="1"/>
  <c r="M69" i="1"/>
  <c r="N68" i="1"/>
  <c r="L68" i="1"/>
  <c r="K68" i="1"/>
  <c r="M68" i="1"/>
  <c r="N67" i="1"/>
  <c r="L67" i="1"/>
  <c r="K67" i="1"/>
  <c r="M67" i="1"/>
  <c r="N66" i="1"/>
  <c r="L66" i="1"/>
  <c r="K66" i="1"/>
  <c r="M66" i="1"/>
  <c r="B7" i="7" a="1"/>
  <c r="B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<sst xmlns="http://schemas.openxmlformats.org/spreadsheetml/2006/main" count="127" uniqueCount="78">
  <si>
    <t>Portfolio Statement</t>
  </si>
  <si>
    <t>Cash Position</t>
  </si>
  <si>
    <t>Metric</t>
  </si>
  <si>
    <t>Value</t>
  </si>
  <si>
    <t>Transaction Count</t>
  </si>
  <si>
    <t>คำอธิบาย</t>
  </si>
  <si>
    <t>Current Bank Cash</t>
  </si>
  <si>
    <t>-</t>
  </si>
  <si>
    <t>ยอดเงินที่เหลืออยู่ธนาคารสำหรับลงทุนตอนนี้</t>
  </si>
  <si>
    <t>Current Broker Cash</t>
  </si>
  <si>
    <t>ยอดเงินที่เหลืออยู่บัญชีทุกโบรเกอร์ตอนนี้</t>
  </si>
  <si>
    <t>Total Deposit</t>
  </si>
  <si>
    <t>ยอดเงินใหม่ที่ฝากเข้าธนาคาร</t>
  </si>
  <si>
    <t>Total Withdrawal</t>
  </si>
  <si>
    <t>ยอดเงินทีถอนออกจากธนาคาร</t>
  </si>
  <si>
    <t>Net External Cash Flow</t>
  </si>
  <si>
    <t>เงินที่ใส่เข้ามาในธนาคาร หักด้วยเงินที่นำออกจากธนาคารสำหรับลงทุน</t>
  </si>
  <si>
    <t>Total Dividend</t>
  </si>
  <si>
    <t>เงินปันผลทั้งหมดที่ได้รับ หลังจากหักภาษี</t>
  </si>
  <si>
    <t xml:space="preserve">Total Buy Amount </t>
  </si>
  <si>
    <t>ยอดรวมเงินการทำธุระกรรม"ซื้อ"ทั้งหมด</t>
  </si>
  <si>
    <t xml:space="preserve">Total Sell Amount </t>
  </si>
  <si>
    <t>ยอดรวมเงินการทำธุระกรรม"ขาย"ทั้งหมด</t>
  </si>
  <si>
    <t>Total Transaction Costs</t>
  </si>
  <si>
    <t>ค่าใช้จ่าเพิ่มเติมจาการ ซื้อขายหุ้นได้แก่ ค่าธรรมเนียมโบกเกอร์,ค่าธรรมเนียมSET,ภาษี7%</t>
  </si>
  <si>
    <t>Holdings Position</t>
  </si>
  <si>
    <t>Asset</t>
  </si>
  <si>
    <t>Total Buy Quantity</t>
  </si>
  <si>
    <t>Total Sell Quantity</t>
  </si>
  <si>
    <t>Current Quantity</t>
  </si>
  <si>
    <t>Total Buy Cost</t>
  </si>
  <si>
    <t>Total Sell Cost</t>
  </si>
  <si>
    <t>Status</t>
  </si>
  <si>
    <t>Transaction ID</t>
  </si>
  <si>
    <t>Date</t>
  </si>
  <si>
    <t>Market</t>
  </si>
  <si>
    <t>Account</t>
  </si>
  <si>
    <t>Sequence</t>
  </si>
  <si>
    <t>Action</t>
  </si>
  <si>
    <t>Amount</t>
  </si>
  <si>
    <t>Quantity</t>
  </si>
  <si>
    <t>Price</t>
  </si>
  <si>
    <t>Commission</t>
  </si>
  <si>
    <t>Fee</t>
  </si>
  <si>
    <t>VAT</t>
  </si>
  <si>
    <t>Gross Amount</t>
  </si>
  <si>
    <t>Net Amount</t>
  </si>
  <si>
    <t>Cash</t>
  </si>
  <si>
    <t>Cash Balance</t>
  </si>
  <si>
    <t xml:space="preserve"> </t>
  </si>
  <si>
    <t>TH-001</t>
  </si>
  <si>
    <t>cash</t>
  </si>
  <si>
    <t>DEPOSIT</t>
  </si>
  <si>
    <t>TH-002</t>
  </si>
  <si>
    <t>TRANSFER_TO_BROKER</t>
  </si>
  <si>
    <t>TH-003</t>
  </si>
  <si>
    <t>set</t>
  </si>
  <si>
    <t>SIRI</t>
  </si>
  <si>
    <t>BUY</t>
  </si>
  <si>
    <t>TH-004</t>
  </si>
  <si>
    <t>PTT</t>
  </si>
  <si>
    <t>TH-005</t>
  </si>
  <si>
    <t>TH-006</t>
  </si>
  <si>
    <t>TH-007</t>
  </si>
  <si>
    <t>DIVIDEND</t>
  </si>
  <si>
    <t>TH-008</t>
  </si>
  <si>
    <t>TH-009</t>
  </si>
  <si>
    <t>TH-010</t>
  </si>
  <si>
    <t>TH-011</t>
  </si>
  <si>
    <t>TH-012</t>
  </si>
  <si>
    <t>SELL</t>
  </si>
  <si>
    <t>TH-013</t>
  </si>
  <si>
    <t>KCG</t>
  </si>
  <si>
    <t>TH-014</t>
  </si>
  <si>
    <t>TH-015</t>
  </si>
  <si>
    <t>TH-016</t>
  </si>
  <si>
    <t>TH-017</t>
  </si>
  <si>
    <t>TH-018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</si>
</sst>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฿&quot;* #,##0.00_-;\-&quot;฿&quot;* #,##0.00_-;_-&quot;฿&quot;* &quot;-&quot;??_-;_-@_-"/>
    <numFmt numFmtId="187" formatCode="yyyy\-mm\-dd;@"/>
  </numFmts>
  <fonts count="7" x14ac:knownFonts="1">
    <font>
      <sz val="11"/>
      <color theme="1"/>
      <name val="Tahoma"/>
      <family val="2"/>
      <scheme val="minor"/>
    </font>
    <font>
      <sz val="11"/>
      <color rgb="FF242424"/>
      <name val="Aptos Narrow"/>
      <charset val="1"/>
    </font>
    <font>
      <sz val="11"/>
      <color theme="1"/>
      <name val="Segoe UI"/>
      <charset val="1"/>
    </font>
    <font>
      <sz val="11"/>
      <color rgb="FF000000"/>
      <name val="Tahoma"/>
      <charset val="1"/>
    </font>
    <font>
      <b/>
      <sz val="11"/>
      <color theme="0"/>
      <name val="Tahoma"/>
      <family val="2"/>
      <scheme val="minor"/>
    </font>
    <font>
      <b/>
      <sz val="11"/>
      <color theme="0"/>
      <name val="Segoe UI"/>
      <charset val="1"/>
    </font>
    <font>
      <b/>
      <sz val="11"/>
      <color rgb="FF00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187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4" fontId="0" fillId="0" borderId="0" xfId="0" applyNumberFormat="1" applyAlignment="1">
      <alignment horizontal="left"/>
    </xf>
    <xf numFmtId="0" fontId="0" fillId="0" borderId="0" xfId="0" applyFont="1"/>
    <xf numFmtId="0" fontId="4" fillId="0" borderId="0" xfId="0" applyFont="1" applyFill="1"/>
    <xf numFmtId="0" fontId="0" fillId="0" borderId="0" xfId="0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ปกติ" xfId="0" builtinId="0"/>
  </cellStyles>
  <dxfs count="19">
    <dxf>
      <numFmt numFmtId="187" formatCode="yyyy\-mm\-dd;@"/>
    </dxf>
    <dxf>
      <numFmt numFmtId="187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/>
    </dxf>
    <dxf>
      <numFmt numFmtId="187" formatCode="yyyy\-mm\-dd;@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fill>
        <patternFill patternType="none">
          <fgColor indexed="64"/>
          <bgColor theme="0"/>
        </patternFill>
      </fill>
    </dxf>
    <dxf>
      <numFmt numFmtId="0" formatCode="General"/>
    </dxf>
    <dxf>
      <numFmt numFmtId="34" formatCode="_-&quot;฿&quot;* #,##0.00_-;\-&quot;฿&quot;* #,##0.00_-;_-&quot;฿&quot;* &quot;-&quot;??_-;_-@_-"/>
      <alignment horizontal="left"/>
    </dxf>
    <dxf>
      <font>
        <b val="0"/>
      </font>
    </dxf>
  </dxfs>
  <tableStyles count="0" defaultTableStyle="TableStyleMedium2" defaultPivotStyle="PivotStyleMedium9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5BB44-C8F0-49C9-A5FC-D4CE02B6146F}" name="Table2" displayName="Table2" ref="A5:D14" totalsRowShown="0" headerRowDxfId="18">
  <autoFilter ref="A5:D14" xr:uid="{F585BB44-C8F0-49C9-A5FC-D4CE02B6146F}"/>
  <tableColumns count="4">
    <tableColumn id="1" xr3:uid="{D23C6C68-A819-4C71-A902-8E7295980B9D}" name="Metric"/>
    <tableColumn id="2" xr3:uid="{C1677895-F794-49A7-A9CB-C07E90394A46}" name="Value" dataDxfId="17">
      <calculatedColumnFormula array="1">_xlfn.XLOOKUP(TRUE,tbl__Clean[Cash]&lt;&gt;"",tbl__Clean[Cash],0,0,-1)</calculatedColumnFormula>
    </tableColumn>
    <tableColumn id="3" xr3:uid="{EC5CBFB4-6B89-4059-A1C5-4221C14F50C1}" name="Transaction Count" dataDxfId="16">
      <calculatedColumnFormula>COUNTIF(tbl__Clean[Action],"DEPOSIT")</calculatedColumnFormula>
    </tableColumn>
    <tableColumn id="4" xr3:uid="{CF191BF6-779F-4895-BB05-8D6EAD1C3E6A}" name="คำอธิบา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0A79B-FE12-4C50-A6A7-1ABE17709363}" name="Table5" displayName="Table5" ref="A19:G28" totalsRowCount="1">
  <autoFilter ref="A19:G27" xr:uid="{6FB0A79B-FE12-4C50-A6A7-1ABE17709363}"/>
  <tableColumns count="7">
    <tableColumn id="8" xr3:uid="{4C7B1D09-661B-4A79-BF21-5C0EF1222FE5}" name="Asset" dataDxfId="15">
      <calculatedColumnFormula>J1</calculatedColumnFormula>
    </tableColumn>
    <tableColumn id="2" xr3:uid="{CAF44A4F-DCAE-423F-A07B-4963223F5EF2}" name="Total Buy Quantity" dataDxfId="14">
      <calculatedColumnFormula>J1</calculatedColumnFormula>
    </tableColumn>
    <tableColumn id="3" xr3:uid="{0E267555-2D9F-43BB-B8DC-2F135E2C93E5}" name="Total Sell Quantity"/>
    <tableColumn id="4" xr3:uid="{954F2D40-3637-416D-8281-A45D5EBE965E}" name="Current Quantity"/>
    <tableColumn id="5" xr3:uid="{22790DA5-9053-4D18-BD9B-EC9086C4A3F2}" name="Total Buy Cost"/>
    <tableColumn id="6" xr3:uid="{E55574EC-04A6-4AC9-96BA-31EF2003EAEA}" name="Total Sell Cost"/>
    <tableColumn id="7" xr3:uid="{CCB90C5B-D28A-414D-9A31-3E917106DD3E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632B1D-0063-4EDC-9D43-A9368F80EEC0}" name="tbl__Clean" displayName="tbl__Clean" ref="A1:Q30" totalsRowShown="0">
  <autoFilter ref="A1:Q30" xr:uid="{0B632B1D-0063-4EDC-9D43-A9368F80EEC0}"/>
  <tableColumns count="17">
    <tableColumn id="12" xr3:uid="{8C0912F6-0471-4594-B3BE-81E573D26F23}" name="Transaction ID" dataDxfId="13">
      <calculatedColumnFormula>tbl_transactions[[#This Row],[Transaction ID]]</calculatedColumnFormula>
    </tableColumn>
    <tableColumn id="1" xr3:uid="{C6FEB87A-702C-4C9D-8F03-7D58CFE21316}" name="Date" dataDxfId="12">
      <calculatedColumnFormula>tbl_transactions[[#This Row],[Date]]</calculatedColumnFormula>
    </tableColumn>
    <tableColumn id="10" xr3:uid="{3D93C00E-F070-46B8-B479-E7A610B769F7}" name="Market" dataDxfId="11">
      <calculatedColumnFormula>tbl_transactions[[#This Row],[Market]]</calculatedColumnFormula>
    </tableColumn>
    <tableColumn id="11" xr3:uid="{9F9234B3-DB61-45D6-B0C4-B0D56DCDDF0D}" name="Account">
      <calculatedColumnFormula>tbl_transactions[[#This Row],[Account]]</calculatedColumnFormula>
    </tableColumn>
    <tableColumn id="13" xr3:uid="{1AAB41B4-3312-4F06-95B1-BFF5380CC36B}" name="Sequence" dataDxfId="10">
      <calculatedColumnFormula>tbl_transactions[[#This Row],[Sequence]]</calculatedColumnFormula>
    </tableColumn>
    <tableColumn id="2" xr3:uid="{92E21035-D717-4DDD-B2B6-E090E1C6C2C1}" name="Asset">
      <calculatedColumnFormula>tbl_transactions[[#This Row],[Asset]]</calculatedColumnFormula>
    </tableColumn>
    <tableColumn id="4" xr3:uid="{E7A50FD6-82C4-499D-A3C4-C65B067B76BD}" name="Action" dataDxfId="9">
      <calculatedColumnFormula>tbl_transactions[[#This Row],[Action]]</calculatedColumnFormula>
    </tableColumn>
    <tableColumn id="14" xr3:uid="{E12F4BE4-0B07-4952-A238-606D6354F810}" name="Amount">
      <calculatedColumnFormula>Transaction_Log!H2</calculatedColumnFormula>
    </tableColumn>
    <tableColumn id="3" xr3:uid="{64573ADE-EE75-49E8-8D0E-7F56BB772B56}" name="Quantity">
      <calculatedColumnFormula>tbl_transactions[[#This Row],[Quantity]]</calculatedColumnFormula>
    </tableColumn>
    <tableColumn id="5" xr3:uid="{154B56C9-F1AA-4DBF-9A6C-1AC7EBD91C11}" name="Price">
      <calculatedColumnFormula>tbl_transactions[[#This Row],[Price]]</calculatedColumnFormula>
    </tableColumn>
    <tableColumn id="15" xr3:uid="{4F165E21-B5A5-4DDB-AC82-B238C8C0747C}" name="Commission" dataDxfId="8">
      <calculatedColumnFormula>IF(G2&lt;&gt;0,IF(OR(G2="BUY",G2="SELL"),ROUND((I2*J2)*0.00075,2),0),"")</calculatedColumnFormula>
    </tableColumn>
    <tableColumn id="6" xr3:uid="{F93E7FAB-FD1C-4A37-997B-3E03E1B5FC7D}" name="Fee" dataDxfId="7">
      <calculatedColumnFormula>IF(G2&lt;&gt;0,IF(OR(G2="BUY",G2="SELL"),ROUND((I2*J2)*0.00007,2),0),"")</calculatedColumnFormula>
    </tableColumn>
    <tableColumn id="16" xr3:uid="{A43CEF2A-CC13-492A-AB4F-7C568C787D85}" name="VAT" dataDxfId="6">
      <calculatedColumnFormula>IF(G2&lt;&gt;0,IF(AND(K2&lt;&gt;"",L2&lt;&gt;"",G2&lt;&gt;"DIVIDEND"),ROUND((K2+L2)*0.07,2),ROUND(H2*0.07,2)),"")</calculatedColumnFormula>
    </tableColumn>
    <tableColumn id="17" xr3:uid="{F00759E8-13DB-48F7-A33A-EBE8FD8727FC}" name="Gross Amount" dataDxfId="5">
      <calculatedColumnFormula>IF(F2="cash",0,IF(OR(G2="BUY",G2="SELL"),I2*J2,""))</calculatedColumnFormula>
    </tableColumn>
    <tableColumn id="7" xr3:uid="{E46BBEA3-38EF-446A-95B9-F63250AEF980}" name="Net Amount" dataDxfId="4">
      <calculatedColumnFormula>IF(G2&lt;&gt;0,IF(AND(I2&lt;&gt;"",J2&lt;&gt;"",K2&lt;&gt;"",L2&lt;&gt;"",G2="BUY"),(I2*J2)+K2+L2+M2,IF(AND(I2&lt;&gt;"",J2&lt;&gt;"",K2&lt;&gt;"",L2&lt;&gt;"",G2="SELL"),(I2*J2)-(K2+L2+M2),IF(AND(I2&lt;&gt;"",J2&lt;&gt;"",K2&lt;&gt;"",L2&lt;&gt;"",G2="DIVIDEND"),H2-M2,H2))),"")</calculatedColumnFormula>
    </tableColumn>
    <tableColumn id="8" xr3:uid="{C127AD6A-C2F3-4446-8260-0D0D2CEDFAB2}" name="Cash" dataDxfId="3">
      <calculatedColumnFormula>H2</calculatedColumnFormula>
    </tableColumn>
    <tableColumn id="9" xr3:uid="{7EF35602-1CE3-4284-9A70-959E4322743E}" name="Cash Balance" dataDxfId="2">
      <calculatedColumnFormula array="1">IF(G2&lt;&gt;"",_xlfn.SWITCH(G2,V5,Q1+H2,V1,O2-Q2,V2,O2+Q2),Q1)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7CCA6E-FAAB-4242-B0DA-C4B127EAF93F}" name="tbl_transactions" displayName="tbl_transactions" ref="A1:J30" totalsRowShown="0">
  <autoFilter ref="A1:J30" xr:uid="{567CCA6E-FAAB-4242-B0DA-C4B127EAF93F}"/>
  <tableColumns count="10">
    <tableColumn id="10" xr3:uid="{CBB877B9-7A33-4FD0-A0E3-D65136E57973}" name="Transaction ID"/>
    <tableColumn id="9" xr3:uid="{7618441C-3E7F-419C-B6A5-112394EBA8ED}" name="Date" dataDxfId="1"/>
    <tableColumn id="1" xr3:uid="{BDED63BA-114E-4174-98F1-C4D6B3AB01C2}" name="Market" dataDxfId="0"/>
    <tableColumn id="2" xr3:uid="{22693B11-AC73-4889-B6D2-E82288E804B3}" name="Account"/>
    <tableColumn id="11" xr3:uid="{5C67E79B-4495-477F-BD2C-76B86248C4F3}" name="Sequence"/>
    <tableColumn id="3" xr3:uid="{F7132EF7-4954-430F-BADE-24E168EC4988}" name="Asset"/>
    <tableColumn id="4" xr3:uid="{380483F4-4286-4BAE-A536-E29E583C42AF}" name="Action"/>
    <tableColumn id="5" xr3:uid="{337ADDE9-83FE-4776-8816-D9F4CF9BF0DE}" name="Amount"/>
    <tableColumn id="6" xr3:uid="{099F884F-A525-439C-975C-7E68A3AA38F6}" name="Quantity"/>
    <tableColumn id="7" xr3:uid="{6851416F-98E6-42EE-A454-13A08A8E8CED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9B53-A049-47BE-9A11-DC8AAE005ADA}">
  <sheetPr>
    <tabColor rgb="FF00B050"/>
  </sheetPr>
  <dimension ref="A1"/>
  <sheetViews>
    <sheetView workbookViewId="0">
      <selection activeCell="A2" sqref="A2"/>
    </sheetView>
  </sheetViews>
  <sheetFormatPr defaultRowHeight="14.25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D28E-5D57-4C41-9738-E948A6358539}">
  <sheetPr>
    <tabColor rgb="FF92D050"/>
  </sheetPr>
  <dimension ref="A1"/>
  <sheetViews>
    <sheetView workbookViewId="0">
      <selection activeCell="L17" sqref="L17"/>
    </sheetView>
  </sheetViews>
  <sheetFormatPr defaultRowHeight="14.2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CB8C-4FC3-432B-8341-32D1765A58FB}">
  <sheetPr>
    <tabColor rgb="FFFFFF00"/>
  </sheetPr>
  <dimension ref="A1:J27"/>
  <sheetViews>
    <sheetView topLeftCell="A7" workbookViewId="0">
      <selection activeCell="F15" sqref="F15"/>
    </sheetView>
  </sheetViews>
  <sheetFormatPr defaultRowHeight="14.25" x14ac:dyDescent="0.15"/>
  <cols>
    <col min="1" max="1" width="19.48046875" customWidth="1"/>
    <col min="2" max="2" width="11.61328125" bestFit="1" customWidth="1"/>
    <col min="3" max="3" width="17.484375" customWidth="1"/>
    <col min="4" max="4" width="66.1953125" customWidth="1"/>
    <col min="5" max="7" width="10.61328125" bestFit="1" customWidth="1"/>
  </cols>
  <sheetData>
    <row r="1" spans="1:10" x14ac:dyDescent="0.15">
      <c r="A1" s="15" t="s">
        <v>0</v>
      </c>
      <c r="B1" s="15"/>
      <c r="C1" s="15"/>
      <c r="D1" s="15"/>
      <c r="J1" t="str" cm="1">
        <f t="array" ref="J1:J3">_xlfn._xlws.SORT(_xlfn.UNIQUE(_xlfn._xlws.FILTER(tbl__Clean[Asset],((tbl__Clean[Action]="BUY")+(tbl__Clean[Action]="SELL"))*(tbl__Clean[Asset]&lt;&gt;""))))</f>
        <v>KCG</v>
      </c>
    </row>
    <row r="2" spans="1:10" x14ac:dyDescent="0.15">
      <c r="A2" s="15"/>
      <c r="B2" s="15"/>
      <c r="C2" s="15"/>
      <c r="D2" s="15"/>
      <c r="J2" t="str">
        <v>PTT</v>
      </c>
    </row>
    <row r="3" spans="1:10" x14ac:dyDescent="0.15">
      <c r="A3" s="16"/>
      <c r="B3" s="16"/>
      <c r="C3" s="16"/>
      <c r="D3" s="16"/>
      <c r="J3" t="str">
        <v>SIRI</v>
      </c>
    </row>
    <row r="4" spans="1:10" x14ac:dyDescent="0.15">
      <c r="A4" s="12" t="s">
        <v>1</v>
      </c>
      <c r="B4" s="13"/>
      <c r="C4" s="13"/>
      <c r="D4" s="14"/>
    </row>
    <row r="5" spans="1:10" x14ac:dyDescent="0.15">
      <c r="A5" s="9" t="s">
        <v>2</v>
      </c>
      <c r="B5" s="9" t="s">
        <v>3</v>
      </c>
      <c r="C5" s="9" t="s">
        <v>4</v>
      </c>
      <c r="D5" s="9" t="s">
        <v>5</v>
      </c>
    </row>
    <row r="6" spans="1:10" x14ac:dyDescent="0.15">
      <c r="A6" t="s">
        <v>6</v>
      </c>
      <c r="B6" s="8" cm="1">
        <f t="array" ref="B6">_xlfn.XLOOKUP(TRUE,tbl__Clean[Cash]&lt;&gt;"",tbl__Clean[Cash],0,0,-1)</f>
        <v>23</v>
      </c>
      <c r="C6" t="s">
        <v>7</v>
      </c>
      <c r="D6" t="s">
        <v>8</v>
      </c>
    </row>
    <row r="7" spans="1:10" ht="15" x14ac:dyDescent="0.2">
      <c r="A7" t="s">
        <v>9</v>
      </c>
      <c r="B7" s="8" cm="1">
        <f t="array" ref="B7">_xlfn.XLOOKUP(TRUE,tbl__Clean[Cash Balance]&lt;&gt;"",tbl__Clean[Cash Balance],0,0,-1)</f>
        <v>16489.129999999997</v>
      </c>
      <c r="C7" t="s">
        <v>7</v>
      </c>
      <c r="D7" s="5" t="s">
        <v>10</v>
      </c>
    </row>
    <row r="8" spans="1:10" x14ac:dyDescent="0.15">
      <c r="A8" t="s">
        <v>11</v>
      </c>
      <c r="B8" s="8">
        <f>SUMIFS(tbl__Clean[Amount],tbl__Clean[Action],"DEPOSIT")</f>
        <v>20000</v>
      </c>
      <c r="C8">
        <f>COUNTIF(tbl__Clean[Action],"DEPOSIT")</f>
        <v>6</v>
      </c>
      <c r="D8" t="s">
        <v>12</v>
      </c>
    </row>
    <row r="9" spans="1:10" ht="15" x14ac:dyDescent="0.2">
      <c r="A9" t="s">
        <v>13</v>
      </c>
      <c r="B9" s="8">
        <f>SUMIFS(tbl__Clean[Amount],tbl__Clean[Action],"WITHDRAW")</f>
        <v>0</v>
      </c>
      <c r="C9">
        <f>COUNTIF(tbl__Clean[Action],"WITHDRAW")</f>
        <v>0</v>
      </c>
      <c r="D9" s="5" t="s">
        <v>14</v>
      </c>
    </row>
    <row r="10" spans="1:10" ht="16.5" x14ac:dyDescent="0.25">
      <c r="A10" t="s">
        <v>15</v>
      </c>
      <c r="B10" s="8">
        <f>B8-B9</f>
        <v>20000</v>
      </c>
      <c r="C10" t="s">
        <v>7</v>
      </c>
      <c r="D10" s="6" t="s">
        <v>16</v>
      </c>
    </row>
    <row r="11" spans="1:10" x14ac:dyDescent="0.15">
      <c r="A11" t="s">
        <v>17</v>
      </c>
      <c r="B11" s="8">
        <f>SUMIFS(tbl__Clean[Net Amount],tbl__Clean[Action],"DIVIDEND")</f>
        <v>319.73</v>
      </c>
      <c r="C11">
        <f>COUNTIF(tbl__Clean[Action],"DIVIDEND")</f>
        <v>4</v>
      </c>
      <c r="D11" t="s">
        <v>18</v>
      </c>
    </row>
    <row r="12" spans="1:10" x14ac:dyDescent="0.15">
      <c r="A12" t="s">
        <v>19</v>
      </c>
      <c r="B12" s="8">
        <f>SUMIFS(tbl__Clean[Net Amount],tbl__Clean[Action],"BUY")</f>
        <v>8003.0300000000007</v>
      </c>
      <c r="C12">
        <f>COUNTIF(tbl__Clean[Action],"BUY")</f>
        <v>5</v>
      </c>
      <c r="D12" t="s">
        <v>20</v>
      </c>
    </row>
    <row r="13" spans="1:10" x14ac:dyDescent="0.15">
      <c r="A13" t="s">
        <v>21</v>
      </c>
      <c r="B13" s="8">
        <f>SUMIFS(tbl__Clean[Net Amount],tbl__Clean[Action],"SELL")</f>
        <v>4171.34</v>
      </c>
      <c r="C13">
        <f>COUNTIF(tbl__Clean[Action],"SELL")</f>
        <v>1</v>
      </c>
      <c r="D13" s="7" t="s">
        <v>22</v>
      </c>
    </row>
    <row r="14" spans="1:10" x14ac:dyDescent="0.15">
      <c r="A14" t="s">
        <v>23</v>
      </c>
      <c r="B14" s="8">
        <f>SUM(tbl__Clean[Commission])+SUM(tbl__Clean[Fee])+SUM(tbl__Clean[VAT])</f>
        <v>34.76</v>
      </c>
      <c r="C14">
        <f>C12+C13</f>
        <v>6</v>
      </c>
      <c r="D14" t="s">
        <v>24</v>
      </c>
    </row>
    <row r="18" spans="1:7" ht="16.5" x14ac:dyDescent="0.25">
      <c r="A18" s="17" t="s">
        <v>25</v>
      </c>
      <c r="B18" s="17"/>
      <c r="C18" s="17"/>
      <c r="D18" s="17"/>
      <c r="E18" s="17"/>
      <c r="F18" s="17"/>
      <c r="G18" s="17"/>
    </row>
    <row r="19" spans="1:7" x14ac:dyDescent="0.15">
      <c r="A19" s="10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</row>
    <row r="20" spans="1:7" x14ac:dyDescent="0.15">
      <c r="A20" s="11" t="str">
        <f t="shared" ref="A20:A27" si="0">J1</f>
        <v>KCG</v>
      </c>
    </row>
    <row r="21" spans="1:7" x14ac:dyDescent="0.15">
      <c r="A21" s="11" t="str">
        <f t="shared" si="0"/>
        <v>PTT</v>
      </c>
    </row>
    <row r="22" spans="1:7" x14ac:dyDescent="0.15">
      <c r="A22" s="11" t="str">
        <f t="shared" si="0"/>
        <v>SIRI</v>
      </c>
    </row>
    <row r="23" spans="1:7" x14ac:dyDescent="0.15">
      <c r="A23" s="11">
        <f t="shared" si="0"/>
        <v>0</v>
      </c>
    </row>
    <row r="24" spans="1:7" x14ac:dyDescent="0.15">
      <c r="A24" s="11">
        <f t="shared" si="0"/>
        <v>0</v>
      </c>
    </row>
    <row r="25" spans="1:7" x14ac:dyDescent="0.15">
      <c r="A25" s="11">
        <f t="shared" si="0"/>
        <v>0</v>
      </c>
    </row>
    <row r="26" spans="1:7" x14ac:dyDescent="0.15">
      <c r="A26" s="11">
        <f t="shared" si="0"/>
        <v>0</v>
      </c>
    </row>
    <row r="27" spans="1:7" x14ac:dyDescent="0.15">
      <c r="A27" s="11">
        <f t="shared" si="0"/>
        <v>0</v>
      </c>
    </row>
  </sheetData>
  <mergeCells count="3">
    <mergeCell ref="A4:D4"/>
    <mergeCell ref="A1:D3"/>
    <mergeCell ref="A18:G1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D80"/>
  <sheetViews>
    <sheetView workbookViewId="0">
      <selection activeCell="O12" sqref="O12"/>
    </sheetView>
  </sheetViews>
  <sheetFormatPr defaultRowHeight="14.25" x14ac:dyDescent="0.15"/>
  <cols>
    <col min="1" max="1" width="12.23828125" customWidth="1"/>
    <col min="2" max="2" width="10.61328125" bestFit="1" customWidth="1"/>
    <col min="3" max="3" width="5.1171875" customWidth="1"/>
    <col min="4" max="4" width="10.61328125" customWidth="1"/>
    <col min="5" max="5" width="5.7421875" customWidth="1"/>
    <col min="7" max="7" width="20.48046875" customWidth="1"/>
    <col min="10" max="10" width="6.4921875" customWidth="1"/>
    <col min="14" max="14" width="12.48828125" customWidth="1"/>
    <col min="15" max="15" width="11.98828125" customWidth="1"/>
    <col min="17" max="17" width="12.73828125" customWidth="1"/>
  </cols>
  <sheetData>
    <row r="1" spans="1:18" x14ac:dyDescent="0.1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26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</row>
    <row r="2" spans="1:18" x14ac:dyDescent="0.15">
      <c r="A2" s="1" t="str">
        <f>tbl_transactions[[#This Row],[Transaction ID]]</f>
        <v>TH-001</v>
      </c>
      <c r="B2" s="2">
        <f>tbl_transactions[[#This Row],[Date]]</f>
        <v>45873</v>
      </c>
      <c r="C2" s="3">
        <f>tbl_transactions[[#This Row],[Market]]</f>
        <v>0</v>
      </c>
      <c r="D2" s="4">
        <f>tbl_transactions[[#This Row],[Account]]</f>
        <v>0</v>
      </c>
      <c r="E2" s="1">
        <f>tbl_transactions[[#This Row],[Sequence]]</f>
        <v>1</v>
      </c>
      <c r="F2" t="str">
        <f>tbl_transactions[[#This Row],[Asset]]</f>
        <v>cash</v>
      </c>
      <c r="G2" t="str">
        <f>tbl_transactions[[#This Row],[Action]]</f>
        <v>DEPOSIT</v>
      </c>
      <c r="H2">
        <f>Transaction_Log!H2</f>
        <v>4000</v>
      </c>
      <c r="I2">
        <f>tbl_transactions[[#This Row],[Quantity]]</f>
        <v>0</v>
      </c>
      <c r="J2">
        <f>tbl_transactions[[#This Row],[Price]]</f>
        <v>0</v>
      </c>
      <c r="K2">
        <f t="shared" ref="K2:K30" si="0">IF(G2&lt;&gt;0,IF(OR(G2="BUY",G2="SELL"),ROUND((I2*J2)*0.00075,2),0),"")</f>
        <v>0</v>
      </c>
      <c r="L2">
        <f t="shared" ref="L2:L30" si="1">IF(G2&lt;&gt;0,IF(OR(G2="BUY",G2="SELL"),ROUND((I2*J2)*0.00007,2),0),"")</f>
        <v>0</v>
      </c>
      <c r="M2">
        <f t="shared" ref="M2:M30" si="2">IF(G2&lt;&gt;0,IF(AND(K2&lt;&gt;"",L2&lt;&gt;"",G2&lt;&gt;"DIVIDEND"),ROUND((K2+L2)*0.07,2),ROUND(H2*0.07,2)),"")</f>
        <v>0</v>
      </c>
      <c r="N2">
        <f t="shared" ref="N2:N30" si="3">IF(F2="cash",0,IF(OR(G2="BUY",G2="SELL"),I2*J2,""))</f>
        <v>0</v>
      </c>
      <c r="O2">
        <f t="shared" ref="O2:O30" si="4">IF(G2&lt;&gt;0,IF(AND(I2&lt;&gt;"",J2&lt;&gt;"",K2&lt;&gt;"",L2&lt;&gt;"",G2="BUY"),(I2*J2)+K2+L2+M2,IF(AND(I2&lt;&gt;"",J2&lt;&gt;"",K2&lt;&gt;"",L2&lt;&gt;"",G2="SELL"),(I2*J2)-(K2+L2+M2),IF(AND(I2&lt;&gt;"",J2&lt;&gt;"",K2&lt;&gt;"",L2&lt;&gt;"",G2="DIVIDEND"),H2-M2,H2))),"")</f>
        <v>4000</v>
      </c>
      <c r="P2">
        <f>H2</f>
        <v>4000</v>
      </c>
      <c r="Q2">
        <v>0.02</v>
      </c>
    </row>
    <row r="3" spans="1:18" x14ac:dyDescent="0.15">
      <c r="A3" s="1" t="str">
        <f>tbl_transactions[[#This Row],[Transaction ID]]</f>
        <v>TH-002</v>
      </c>
      <c r="B3" s="2">
        <f>tbl_transactions[[#This Row],[Date]]</f>
        <v>45877</v>
      </c>
      <c r="C3" s="3">
        <f>tbl_transactions[[#This Row],[Market]]</f>
        <v>0</v>
      </c>
      <c r="D3" s="4">
        <f>tbl_transactions[[#This Row],[Account]]</f>
        <v>1383357</v>
      </c>
      <c r="E3" s="1">
        <f>tbl_transactions[[#This Row],[Sequence]]</f>
        <v>2</v>
      </c>
      <c r="F3" t="str">
        <f>tbl_transactions[[#This Row],[Asset]]</f>
        <v>cash</v>
      </c>
      <c r="G3" t="str">
        <f>tbl_transactions[[#This Row],[Action]]</f>
        <v>TRANSFER_TO_BROKER</v>
      </c>
      <c r="H3">
        <f>Transaction_Log!H3</f>
        <v>4000</v>
      </c>
      <c r="I3">
        <f>tbl_transactions[[#This Row],[Quantity]]</f>
        <v>0</v>
      </c>
      <c r="J3">
        <f>tbl_transactions[[#This Row],[Price]]</f>
        <v>0</v>
      </c>
      <c r="K3">
        <f t="shared" si="0"/>
        <v>0</v>
      </c>
      <c r="L3">
        <f t="shared" si="1"/>
        <v>0</v>
      </c>
      <c r="M3">
        <f t="shared" si="2"/>
        <v>0</v>
      </c>
      <c r="N3">
        <f t="shared" si="3"/>
        <v>0</v>
      </c>
      <c r="O3">
        <f t="shared" si="4"/>
        <v>4000</v>
      </c>
      <c r="P3">
        <f>IF(G3&lt;&gt;0,IF(AND(G3="DEPOSIT",F3="cash"),H3+P2,IF(AND(G3="TRANSFER_TO_BROKER",F3="cash"),P2-H3,IF(AND(G3="DIVIDEND",F3&lt;&gt;""),H3+P2,P2))),"")</f>
        <v>0</v>
      </c>
      <c r="Q3">
        <f>IF(F3&lt;&gt;0,IF(G3&lt;&gt;"",IF(G3="TRANSFER_TO_BROKER",H3+Q2,IF(G3="BUY", Q2-O3,IF(G3="SELL", O3+Q2,IF(G3="TRANSFER_TO_BANK",Q2-H3,Q2)))), ""),"")</f>
        <v>4000.02</v>
      </c>
    </row>
    <row r="4" spans="1:18" x14ac:dyDescent="0.15">
      <c r="A4" s="1" t="str">
        <f>tbl_transactions[[#This Row],[Transaction ID]]</f>
        <v>TH-003</v>
      </c>
      <c r="B4" s="2">
        <f>tbl_transactions[[#This Row],[Date]]</f>
        <v>45877</v>
      </c>
      <c r="C4" s="3" t="str">
        <f>tbl_transactions[[#This Row],[Market]]</f>
        <v>set</v>
      </c>
      <c r="D4" s="4">
        <f>tbl_transactions[[#This Row],[Account]]</f>
        <v>1383357</v>
      </c>
      <c r="E4" s="1">
        <f>tbl_transactions[[#This Row],[Sequence]]</f>
        <v>3</v>
      </c>
      <c r="F4" t="str">
        <f>tbl_transactions[[#This Row],[Asset]]</f>
        <v>SIRI</v>
      </c>
      <c r="G4" t="str">
        <f>tbl_transactions[[#This Row],[Action]]</f>
        <v>BUY</v>
      </c>
      <c r="H4">
        <f>Transaction_Log!H4</f>
        <v>0</v>
      </c>
      <c r="I4">
        <f>tbl_transactions[[#This Row],[Quantity]]</f>
        <v>300</v>
      </c>
      <c r="J4">
        <f>tbl_transactions[[#This Row],[Price]]</f>
        <v>1.5</v>
      </c>
      <c r="K4">
        <f t="shared" si="0"/>
        <v>0.34</v>
      </c>
      <c r="L4">
        <f t="shared" si="1"/>
        <v>0.03</v>
      </c>
      <c r="M4">
        <f t="shared" si="2"/>
        <v>0.03</v>
      </c>
      <c r="N4">
        <f t="shared" si="3"/>
        <v>450</v>
      </c>
      <c r="O4">
        <f t="shared" si="4"/>
        <v>450.39999999999992</v>
      </c>
      <c r="P4">
        <f t="shared" ref="P4:P30" si="5">IF(G4&lt;&gt;0,IF(AND(G4="DEPOSIT",F4="cash"),H4+P3,IF(AND(G4="TRANSFER_TO_BROKER",F4="cash"),P3-H4,IF(AND(G4="DIVIDEND",F4&lt;&gt;""),H4+P3,P3))),"")</f>
        <v>0</v>
      </c>
      <c r="Q4">
        <f t="shared" ref="Q4:Q31" si="6">IF(F4&lt;&gt;0,IF(G4&lt;&gt;"",IF(G4="TRANSFER_TO_BROKER",H4+Q3,IF(G4="BUY", Q3-O4,IF(G4="SELL", O4+Q3,IF(G4="TRANSFER_TO_BANK",Q3-H4,Q3)))), ""),"")</f>
        <v>3549.62</v>
      </c>
    </row>
    <row r="5" spans="1:18" x14ac:dyDescent="0.15">
      <c r="A5" s="1" t="str">
        <f>tbl_transactions[[#This Row],[Transaction ID]]</f>
        <v>TH-004</v>
      </c>
      <c r="B5" s="2">
        <f>tbl_transactions[[#This Row],[Date]]</f>
        <v>45882</v>
      </c>
      <c r="C5" s="3" t="str">
        <f>tbl_transactions[[#This Row],[Market]]</f>
        <v>set</v>
      </c>
      <c r="D5" s="4">
        <f>tbl_transactions[[#This Row],[Account]]</f>
        <v>1383357</v>
      </c>
      <c r="E5" s="1">
        <f>tbl_transactions[[#This Row],[Sequence]]</f>
        <v>4</v>
      </c>
      <c r="F5" t="str">
        <f>tbl_transactions[[#This Row],[Asset]]</f>
        <v>PTT</v>
      </c>
      <c r="G5" t="str">
        <f>tbl_transactions[[#This Row],[Action]]</f>
        <v>BUY</v>
      </c>
      <c r="H5">
        <f>Transaction_Log!H6</f>
        <v>0</v>
      </c>
      <c r="I5">
        <f>tbl_transactions[[#This Row],[Quantity]]</f>
        <v>100</v>
      </c>
      <c r="J5">
        <f>tbl_transactions[[#This Row],[Price]]</f>
        <v>32.5</v>
      </c>
      <c r="K5">
        <f t="shared" si="0"/>
        <v>2.44</v>
      </c>
      <c r="L5">
        <f t="shared" si="1"/>
        <v>0.23</v>
      </c>
      <c r="M5">
        <f t="shared" si="2"/>
        <v>0.19</v>
      </c>
      <c r="N5">
        <f t="shared" si="3"/>
        <v>3250</v>
      </c>
      <c r="O5">
        <f t="shared" si="4"/>
        <v>3252.86</v>
      </c>
      <c r="P5">
        <f t="shared" si="5"/>
        <v>0</v>
      </c>
      <c r="Q5">
        <f t="shared" si="6"/>
        <v>296.75999999999976</v>
      </c>
      <c r="R5" t="s">
        <v>49</v>
      </c>
    </row>
    <row r="6" spans="1:18" x14ac:dyDescent="0.15">
      <c r="A6" s="1" t="str">
        <f>tbl_transactions[[#This Row],[Transaction ID]]</f>
        <v>TH-005</v>
      </c>
      <c r="B6" s="2">
        <f>tbl_transactions[[#This Row],[Date]]</f>
        <v>45883</v>
      </c>
      <c r="C6" s="3" t="str">
        <f>tbl_transactions[[#This Row],[Market]]</f>
        <v>set</v>
      </c>
      <c r="D6" s="4">
        <f>tbl_transactions[[#This Row],[Account]]</f>
        <v>1383357</v>
      </c>
      <c r="E6" s="1">
        <f>tbl_transactions[[#This Row],[Sequence]]</f>
        <v>5</v>
      </c>
      <c r="F6" t="str">
        <f>tbl_transactions[[#This Row],[Asset]]</f>
        <v>SIRI</v>
      </c>
      <c r="G6" t="str">
        <f>tbl_transactions[[#This Row],[Action]]</f>
        <v>BUY</v>
      </c>
      <c r="H6">
        <f>Transaction_Log!H5</f>
        <v>0</v>
      </c>
      <c r="I6">
        <f>tbl_transactions[[#This Row],[Quantity]]</f>
        <v>100</v>
      </c>
      <c r="J6">
        <f>tbl_transactions[[#This Row],[Price]]</f>
        <v>1.53</v>
      </c>
      <c r="K6">
        <f t="shared" si="0"/>
        <v>0.11</v>
      </c>
      <c r="L6">
        <f t="shared" si="1"/>
        <v>0.01</v>
      </c>
      <c r="M6">
        <f t="shared" si="2"/>
        <v>0.01</v>
      </c>
      <c r="N6">
        <f t="shared" si="3"/>
        <v>153</v>
      </c>
      <c r="O6">
        <f t="shared" si="4"/>
        <v>153.13</v>
      </c>
      <c r="P6">
        <f t="shared" si="5"/>
        <v>0</v>
      </c>
      <c r="Q6">
        <f t="shared" si="6"/>
        <v>143.62999999999977</v>
      </c>
    </row>
    <row r="7" spans="1:18" x14ac:dyDescent="0.15">
      <c r="A7" s="1" t="str">
        <f>tbl_transactions[[#This Row],[Transaction ID]]</f>
        <v>TH-006</v>
      </c>
      <c r="B7" s="2">
        <f>tbl_transactions[[#This Row],[Date]]</f>
        <v>45937</v>
      </c>
      <c r="C7" s="3" t="str">
        <f>tbl_transactions[[#This Row],[Market]]</f>
        <v>set</v>
      </c>
      <c r="D7" s="4">
        <f>tbl_transactions[[#This Row],[Account]]</f>
        <v>1383357</v>
      </c>
      <c r="E7" s="1">
        <f>tbl_transactions[[#This Row],[Sequence]]</f>
        <v>6</v>
      </c>
      <c r="F7" t="str">
        <f>tbl_transactions[[#This Row],[Asset]]</f>
        <v>SIRI</v>
      </c>
      <c r="G7" t="str">
        <f>tbl_transactions[[#This Row],[Action]]</f>
        <v>BUY</v>
      </c>
      <c r="H7">
        <f>Transaction_Log!H7</f>
        <v>0</v>
      </c>
      <c r="I7">
        <f>tbl_transactions[[#This Row],[Quantity]]</f>
        <v>100</v>
      </c>
      <c r="J7">
        <f>tbl_transactions[[#This Row],[Price]]</f>
        <v>1.43</v>
      </c>
      <c r="K7">
        <f t="shared" si="0"/>
        <v>0.11</v>
      </c>
      <c r="L7">
        <f t="shared" si="1"/>
        <v>0.01</v>
      </c>
      <c r="M7">
        <f t="shared" si="2"/>
        <v>0.01</v>
      </c>
      <c r="N7">
        <f t="shared" si="3"/>
        <v>143</v>
      </c>
      <c r="O7">
        <f t="shared" si="4"/>
        <v>143.13</v>
      </c>
      <c r="P7">
        <f t="shared" si="5"/>
        <v>0</v>
      </c>
      <c r="Q7">
        <f t="shared" si="6"/>
        <v>0.49999999999977263</v>
      </c>
    </row>
    <row r="8" spans="1:18" x14ac:dyDescent="0.15">
      <c r="A8" s="1" t="str">
        <f>tbl_transactions[[#This Row],[Transaction ID]]</f>
        <v>TH-007</v>
      </c>
      <c r="B8" s="2">
        <f>tbl_transactions[[#This Row],[Date]]</f>
        <v>45947</v>
      </c>
      <c r="C8" s="3" t="str">
        <f>tbl_transactions[[#This Row],[Market]]</f>
        <v>set</v>
      </c>
      <c r="D8" s="4">
        <f>tbl_transactions[[#This Row],[Account]]</f>
        <v>0</v>
      </c>
      <c r="E8" s="1">
        <f>tbl_transactions[[#This Row],[Sequence]]</f>
        <v>7</v>
      </c>
      <c r="F8" t="str">
        <f>tbl_transactions[[#This Row],[Asset]]</f>
        <v>PTT</v>
      </c>
      <c r="G8" t="str">
        <f>tbl_transactions[[#This Row],[Action]]</f>
        <v>DIVIDEND</v>
      </c>
      <c r="H8">
        <f>Transaction_Log!H8</f>
        <v>90</v>
      </c>
      <c r="I8">
        <f>tbl_transactions[[#This Row],[Quantity]]</f>
        <v>0</v>
      </c>
      <c r="J8">
        <f>tbl_transactions[[#This Row],[Price]]</f>
        <v>0</v>
      </c>
      <c r="K8">
        <f t="shared" si="0"/>
        <v>0</v>
      </c>
      <c r="L8">
        <f t="shared" si="1"/>
        <v>0</v>
      </c>
      <c r="M8">
        <f t="shared" si="2"/>
        <v>6.3</v>
      </c>
      <c r="N8" t="str">
        <f t="shared" si="3"/>
        <v/>
      </c>
      <c r="O8">
        <f t="shared" si="4"/>
        <v>83.7</v>
      </c>
      <c r="P8">
        <f t="shared" si="5"/>
        <v>90</v>
      </c>
      <c r="Q8">
        <f t="shared" si="6"/>
        <v>0.49999999999977263</v>
      </c>
    </row>
    <row r="9" spans="1:18" x14ac:dyDescent="0.15">
      <c r="A9" s="1" t="str">
        <f>tbl_transactions[[#This Row],[Transaction ID]]</f>
        <v>TH-008</v>
      </c>
      <c r="B9" s="2">
        <f>tbl_transactions[[#This Row],[Date]]</f>
        <v>46140</v>
      </c>
      <c r="C9" s="3" t="str">
        <f>tbl_transactions[[#This Row],[Market]]</f>
        <v>set</v>
      </c>
      <c r="D9" s="4">
        <f>tbl_transactions[[#This Row],[Account]]</f>
        <v>0</v>
      </c>
      <c r="E9" s="1">
        <f>tbl_transactions[[#This Row],[Sequence]]</f>
        <v>8</v>
      </c>
      <c r="F9" t="str">
        <f>tbl_transactions[[#This Row],[Asset]]</f>
        <v>PTT</v>
      </c>
      <c r="G9" t="str">
        <f>tbl_transactions[[#This Row],[Action]]</f>
        <v>DIVIDEND</v>
      </c>
      <c r="H9">
        <f>Transaction_Log!H9</f>
        <v>140</v>
      </c>
      <c r="I9">
        <f>tbl_transactions[[#This Row],[Quantity]]</f>
        <v>0</v>
      </c>
      <c r="J9">
        <f>tbl_transactions[[#This Row],[Price]]</f>
        <v>0</v>
      </c>
      <c r="K9">
        <f t="shared" si="0"/>
        <v>0</v>
      </c>
      <c r="L9">
        <f t="shared" si="1"/>
        <v>0</v>
      </c>
      <c r="M9">
        <f t="shared" si="2"/>
        <v>9.8000000000000007</v>
      </c>
      <c r="N9" t="str">
        <f t="shared" si="3"/>
        <v/>
      </c>
      <c r="O9">
        <f t="shared" si="4"/>
        <v>130.19999999999999</v>
      </c>
      <c r="P9">
        <f t="shared" si="5"/>
        <v>230</v>
      </c>
      <c r="Q9">
        <f t="shared" si="6"/>
        <v>0.49999999999977263</v>
      </c>
    </row>
    <row r="10" spans="1:18" x14ac:dyDescent="0.15">
      <c r="A10" s="1" t="str">
        <f>tbl_transactions[[#This Row],[Transaction ID]]</f>
        <v>TH-009</v>
      </c>
      <c r="B10" s="2">
        <f>tbl_transactions[[#This Row],[Date]]</f>
        <v>46188</v>
      </c>
      <c r="C10" s="3">
        <f>tbl_transactions[[#This Row],[Market]]</f>
        <v>0</v>
      </c>
      <c r="D10" s="4">
        <f>tbl_transactions[[#This Row],[Account]]</f>
        <v>0</v>
      </c>
      <c r="E10" s="1">
        <f>tbl_transactions[[#This Row],[Sequence]]</f>
        <v>9</v>
      </c>
      <c r="F10" t="str">
        <f>tbl_transactions[[#This Row],[Asset]]</f>
        <v>cash</v>
      </c>
      <c r="G10" t="str">
        <f>tbl_transactions[[#This Row],[Action]]</f>
        <v>DEPOSIT</v>
      </c>
      <c r="H10">
        <f>Transaction_Log!H10</f>
        <v>4000</v>
      </c>
      <c r="I10">
        <f>tbl_transactions[[#This Row],[Quantity]]</f>
        <v>0</v>
      </c>
      <c r="J10">
        <f>tbl_transactions[[#This Row],[Price]]</f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0</v>
      </c>
      <c r="O10">
        <f t="shared" si="4"/>
        <v>4000</v>
      </c>
      <c r="P10">
        <f t="shared" si="5"/>
        <v>4230</v>
      </c>
      <c r="Q10">
        <f t="shared" si="6"/>
        <v>0.49999999999977263</v>
      </c>
    </row>
    <row r="11" spans="1:18" x14ac:dyDescent="0.15">
      <c r="A11" s="1" t="str">
        <f>tbl_transactions[[#This Row],[Transaction ID]]</f>
        <v>TH-010</v>
      </c>
      <c r="B11" s="2">
        <f>tbl_transactions[[#This Row],[Date]]</f>
        <v>46218</v>
      </c>
      <c r="C11" s="3">
        <f>tbl_transactions[[#This Row],[Market]]</f>
        <v>0</v>
      </c>
      <c r="D11" s="4">
        <f>tbl_transactions[[#This Row],[Account]]</f>
        <v>0</v>
      </c>
      <c r="E11" s="1">
        <f>tbl_transactions[[#This Row],[Sequence]]</f>
        <v>10</v>
      </c>
      <c r="F11" t="str">
        <f>tbl_transactions[[#This Row],[Asset]]</f>
        <v>cash</v>
      </c>
      <c r="G11" t="str">
        <f>tbl_transactions[[#This Row],[Action]]</f>
        <v>DEPOSIT</v>
      </c>
      <c r="H11">
        <f>Transaction_Log!H11</f>
        <v>4000</v>
      </c>
      <c r="I11">
        <f>tbl_transactions[[#This Row],[Quantity]]</f>
        <v>0</v>
      </c>
      <c r="J11">
        <f>tbl_transactions[[#This Row],[Price]]</f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f t="shared" si="3"/>
        <v>0</v>
      </c>
      <c r="O11">
        <f t="shared" si="4"/>
        <v>4000</v>
      </c>
      <c r="P11">
        <f t="shared" si="5"/>
        <v>8230</v>
      </c>
      <c r="Q11">
        <f t="shared" si="6"/>
        <v>0.49999999999977263</v>
      </c>
    </row>
    <row r="12" spans="1:18" x14ac:dyDescent="0.15">
      <c r="A12" s="1" t="str">
        <f>tbl_transactions[[#This Row],[Transaction ID]]</f>
        <v>TH-011</v>
      </c>
      <c r="B12" s="2">
        <f>tbl_transactions[[#This Row],[Date]]</f>
        <v>46249</v>
      </c>
      <c r="C12" s="3">
        <f>tbl_transactions[[#This Row],[Market]]</f>
        <v>0</v>
      </c>
      <c r="D12" s="4">
        <f>tbl_transactions[[#This Row],[Account]]</f>
        <v>0</v>
      </c>
      <c r="E12" s="1">
        <f>tbl_transactions[[#This Row],[Sequence]]</f>
        <v>11</v>
      </c>
      <c r="F12" t="str">
        <f>tbl_transactions[[#This Row],[Asset]]</f>
        <v>cash</v>
      </c>
      <c r="G12" t="str">
        <f>tbl_transactions[[#This Row],[Action]]</f>
        <v>DEPOSIT</v>
      </c>
      <c r="H12">
        <f>Transaction_Log!H12</f>
        <v>4000</v>
      </c>
      <c r="I12">
        <f>tbl_transactions[[#This Row],[Quantity]]</f>
        <v>0</v>
      </c>
      <c r="J12">
        <f>tbl_transactions[[#This Row],[Price]]</f>
        <v>0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4000</v>
      </c>
      <c r="P12">
        <f t="shared" si="5"/>
        <v>12230</v>
      </c>
      <c r="Q12">
        <f t="shared" si="6"/>
        <v>0.49999999999977263</v>
      </c>
    </row>
    <row r="13" spans="1:18" x14ac:dyDescent="0.15">
      <c r="A13" s="1" t="str">
        <f>tbl_transactions[[#This Row],[Transaction ID]]</f>
        <v>TH-012</v>
      </c>
      <c r="B13" s="2">
        <f>tbl_transactions[[#This Row],[Date]]</f>
        <v>46275</v>
      </c>
      <c r="C13" s="3" t="str">
        <f>tbl_transactions[[#This Row],[Market]]</f>
        <v>set</v>
      </c>
      <c r="D13" s="4">
        <f>tbl_transactions[[#This Row],[Account]]</f>
        <v>1383357</v>
      </c>
      <c r="E13" s="1">
        <f>tbl_transactions[[#This Row],[Sequence]]</f>
        <v>12</v>
      </c>
      <c r="F13" t="str">
        <f>tbl_transactions[[#This Row],[Asset]]</f>
        <v>PTT</v>
      </c>
      <c r="G13" t="str">
        <f>tbl_transactions[[#This Row],[Action]]</f>
        <v>SELL</v>
      </c>
      <c r="H13">
        <f>Transaction_Log!H13</f>
        <v>0</v>
      </c>
      <c r="I13">
        <f>tbl_transactions[[#This Row],[Quantity]]</f>
        <v>100</v>
      </c>
      <c r="J13">
        <f>tbl_transactions[[#This Row],[Price]]</f>
        <v>41.75</v>
      </c>
      <c r="K13">
        <f t="shared" si="0"/>
        <v>3.13</v>
      </c>
      <c r="L13">
        <f t="shared" si="1"/>
        <v>0.28999999999999998</v>
      </c>
      <c r="M13">
        <f t="shared" si="2"/>
        <v>0.24</v>
      </c>
      <c r="N13">
        <f t="shared" si="3"/>
        <v>4175</v>
      </c>
      <c r="O13">
        <f t="shared" si="4"/>
        <v>4171.34</v>
      </c>
      <c r="P13">
        <f t="shared" si="5"/>
        <v>12230</v>
      </c>
      <c r="Q13">
        <f t="shared" si="6"/>
        <v>4171.84</v>
      </c>
    </row>
    <row r="14" spans="1:18" x14ac:dyDescent="0.15">
      <c r="A14" s="1" t="str">
        <f>tbl_transactions[[#This Row],[Transaction ID]]</f>
        <v>TH-013</v>
      </c>
      <c r="B14" s="2">
        <f>tbl_transactions[[#This Row],[Date]]</f>
        <v>46269</v>
      </c>
      <c r="C14" s="3" t="str">
        <f>tbl_transactions[[#This Row],[Market]]</f>
        <v>set</v>
      </c>
      <c r="D14" s="4">
        <f>tbl_transactions[[#This Row],[Account]]</f>
        <v>1383357</v>
      </c>
      <c r="E14" s="1">
        <f>tbl_transactions[[#This Row],[Sequence]]</f>
        <v>13</v>
      </c>
      <c r="F14" t="str">
        <f>tbl_transactions[[#This Row],[Asset]]</f>
        <v>KCG</v>
      </c>
      <c r="G14" t="str">
        <f>tbl_transactions[[#This Row],[Action]]</f>
        <v>BUY</v>
      </c>
      <c r="H14">
        <f>Transaction_Log!H14</f>
        <v>0</v>
      </c>
      <c r="I14">
        <f>tbl_transactions[[#This Row],[Quantity]]</f>
        <v>400</v>
      </c>
      <c r="J14">
        <f>tbl_transactions[[#This Row],[Price]]</f>
        <v>10</v>
      </c>
      <c r="K14">
        <f t="shared" si="0"/>
        <v>3</v>
      </c>
      <c r="L14">
        <f t="shared" si="1"/>
        <v>0.28000000000000003</v>
      </c>
      <c r="M14">
        <f t="shared" si="2"/>
        <v>0.23</v>
      </c>
      <c r="N14">
        <f t="shared" si="3"/>
        <v>4000</v>
      </c>
      <c r="O14">
        <f t="shared" si="4"/>
        <v>4003.51</v>
      </c>
      <c r="P14">
        <f t="shared" si="5"/>
        <v>12230</v>
      </c>
      <c r="Q14">
        <f t="shared" si="6"/>
        <v>168.32999999999993</v>
      </c>
    </row>
    <row r="15" spans="1:18" x14ac:dyDescent="0.15">
      <c r="A15" s="1" t="str">
        <f>tbl_transactions[[#This Row],[Transaction ID]]</f>
        <v>TH-014</v>
      </c>
      <c r="B15" s="2">
        <f>tbl_transactions[[#This Row],[Date]]</f>
        <v>46276</v>
      </c>
      <c r="C15" s="3" t="str">
        <f>tbl_transactions[[#This Row],[Market]]</f>
        <v>set</v>
      </c>
      <c r="D15" s="4">
        <f>tbl_transactions[[#This Row],[Account]]</f>
        <v>0</v>
      </c>
      <c r="E15" s="1">
        <f>tbl_transactions[[#This Row],[Sequence]]</f>
        <v>14</v>
      </c>
      <c r="F15" t="str">
        <f>tbl_transactions[[#This Row],[Asset]]</f>
        <v>SIRI</v>
      </c>
      <c r="G15" t="str">
        <f>tbl_transactions[[#This Row],[Action]]</f>
        <v>DIVIDEND</v>
      </c>
      <c r="H15">
        <f>Transaction_Log!H15</f>
        <v>22.5</v>
      </c>
      <c r="I15">
        <f>tbl_transactions[[#This Row],[Quantity]]</f>
        <v>0</v>
      </c>
      <c r="J15">
        <f>tbl_transactions[[#This Row],[Price]]</f>
        <v>0</v>
      </c>
      <c r="K15">
        <f t="shared" si="0"/>
        <v>0</v>
      </c>
      <c r="L15">
        <f t="shared" si="1"/>
        <v>0</v>
      </c>
      <c r="M15">
        <f t="shared" si="2"/>
        <v>1.58</v>
      </c>
      <c r="N15" t="str">
        <f t="shared" si="3"/>
        <v/>
      </c>
      <c r="O15">
        <f t="shared" si="4"/>
        <v>20.92</v>
      </c>
      <c r="P15">
        <f t="shared" si="5"/>
        <v>12252.5</v>
      </c>
      <c r="Q15">
        <f t="shared" si="6"/>
        <v>168.32999999999993</v>
      </c>
    </row>
    <row r="16" spans="1:18" x14ac:dyDescent="0.15">
      <c r="A16" s="1" t="str">
        <f>tbl_transactions[[#This Row],[Transaction ID]]</f>
        <v>TH-015</v>
      </c>
      <c r="B16" s="2">
        <f>tbl_transactions[[#This Row],[Date]]</f>
        <v>46281</v>
      </c>
      <c r="C16" s="3">
        <f>tbl_transactions[[#This Row],[Market]]</f>
        <v>0</v>
      </c>
      <c r="D16" s="4">
        <f>tbl_transactions[[#This Row],[Account]]</f>
        <v>0</v>
      </c>
      <c r="E16" s="1">
        <f>tbl_transactions[[#This Row],[Sequence]]</f>
        <v>15</v>
      </c>
      <c r="F16" t="str">
        <f>tbl_transactions[[#This Row],[Asset]]</f>
        <v>cash</v>
      </c>
      <c r="G16" t="str">
        <f>tbl_transactions[[#This Row],[Action]]</f>
        <v>DEPOSIT</v>
      </c>
      <c r="H16">
        <f>Transaction_Log!H16</f>
        <v>4000</v>
      </c>
      <c r="I16">
        <f>tbl_transactions[[#This Row],[Quantity]]</f>
        <v>0</v>
      </c>
      <c r="J16">
        <f>tbl_transactions[[#This Row],[Price]]</f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4000</v>
      </c>
      <c r="P16">
        <f t="shared" si="5"/>
        <v>16252.5</v>
      </c>
      <c r="Q16">
        <f t="shared" si="6"/>
        <v>168.32999999999993</v>
      </c>
    </row>
    <row r="17" spans="1:30" x14ac:dyDescent="0.15">
      <c r="A17" s="1" t="str">
        <f>tbl_transactions[[#This Row],[Transaction ID]]</f>
        <v>TH-016</v>
      </c>
      <c r="B17" s="2">
        <f>tbl_transactions[[#This Row],[Date]]</f>
        <v>46281</v>
      </c>
      <c r="C17" s="3">
        <f>tbl_transactions[[#This Row],[Market]]</f>
        <v>0</v>
      </c>
      <c r="D17" s="4">
        <f>tbl_transactions[[#This Row],[Account]]</f>
        <v>0</v>
      </c>
      <c r="E17" s="1">
        <f>tbl_transactions[[#This Row],[Sequence]]</f>
        <v>16</v>
      </c>
      <c r="F17" t="str">
        <f>tbl_transactions[[#This Row],[Asset]]</f>
        <v>cash</v>
      </c>
      <c r="G17" t="str">
        <f>tbl_transactions[[#This Row],[Action]]</f>
        <v>DIVIDEND</v>
      </c>
      <c r="H17">
        <f>Transaction_Log!H17</f>
        <v>91.3</v>
      </c>
      <c r="I17">
        <f>tbl_transactions[[#This Row],[Quantity]]</f>
        <v>0</v>
      </c>
      <c r="J17">
        <f>tbl_transactions[[#This Row],[Price]]</f>
        <v>0</v>
      </c>
      <c r="K17">
        <f t="shared" si="0"/>
        <v>0</v>
      </c>
      <c r="L17">
        <f t="shared" si="1"/>
        <v>0</v>
      </c>
      <c r="M17">
        <f t="shared" si="2"/>
        <v>6.39</v>
      </c>
      <c r="N17">
        <f t="shared" si="3"/>
        <v>0</v>
      </c>
      <c r="O17">
        <f t="shared" si="4"/>
        <v>84.91</v>
      </c>
      <c r="P17">
        <f t="shared" si="5"/>
        <v>16343.8</v>
      </c>
      <c r="Q17">
        <f t="shared" si="6"/>
        <v>168.32999999999993</v>
      </c>
    </row>
    <row r="18" spans="1:30" x14ac:dyDescent="0.15">
      <c r="A18" s="1" t="str">
        <f>tbl_transactions[[#This Row],[Transaction ID]]</f>
        <v>TH-017</v>
      </c>
      <c r="B18" s="2">
        <f>tbl_transactions[[#This Row],[Date]]</f>
        <v>46282</v>
      </c>
      <c r="C18" s="3" t="str">
        <f>tbl_transactions[[#This Row],[Market]]</f>
        <v>set</v>
      </c>
      <c r="D18" s="4">
        <f>tbl_transactions[[#This Row],[Account]]</f>
        <v>1383357</v>
      </c>
      <c r="E18" s="1">
        <f>tbl_transactions[[#This Row],[Sequence]]</f>
        <v>17</v>
      </c>
      <c r="F18" t="str">
        <f>tbl_transactions[[#This Row],[Asset]]</f>
        <v>cash</v>
      </c>
      <c r="G18" t="str">
        <f>tbl_transactions[[#This Row],[Action]]</f>
        <v>TRANSFER_TO_BROKER</v>
      </c>
      <c r="H18">
        <f>Transaction_Log!H18</f>
        <v>16320.8</v>
      </c>
      <c r="I18">
        <f>tbl_transactions[[#This Row],[Quantity]]</f>
        <v>0</v>
      </c>
      <c r="J18">
        <f>tbl_transactions[[#This Row],[Price]]</f>
        <v>0</v>
      </c>
      <c r="K18">
        <f t="shared" si="0"/>
        <v>0</v>
      </c>
      <c r="L18">
        <f t="shared" si="1"/>
        <v>0</v>
      </c>
      <c r="M18">
        <f t="shared" si="2"/>
        <v>0</v>
      </c>
      <c r="N18">
        <f t="shared" si="3"/>
        <v>0</v>
      </c>
      <c r="O18">
        <f t="shared" si="4"/>
        <v>16320.8</v>
      </c>
      <c r="P18">
        <f t="shared" si="5"/>
        <v>23</v>
      </c>
      <c r="Q18">
        <f t="shared" si="6"/>
        <v>16489.129999999997</v>
      </c>
    </row>
    <row r="19" spans="1:30" x14ac:dyDescent="0.15">
      <c r="A19" s="1" t="str">
        <f>tbl_transactions[[#This Row],[Transaction ID]]</f>
        <v>TH-018</v>
      </c>
      <c r="B19" s="2">
        <f>tbl_transactions[[#This Row],[Date]]</f>
        <v>46280</v>
      </c>
      <c r="C19" s="3">
        <f>tbl_transactions[[#This Row],[Market]]</f>
        <v>0</v>
      </c>
      <c r="D19" s="4">
        <f>tbl_transactions[[#This Row],[Account]]</f>
        <v>0</v>
      </c>
      <c r="E19" s="1">
        <f>tbl_transactions[[#This Row],[Sequence]]</f>
        <v>18</v>
      </c>
      <c r="F19" t="str">
        <f>tbl_transactions[[#This Row],[Asset]]</f>
        <v>cash</v>
      </c>
      <c r="G19" s="1" t="str">
        <f>tbl_transactions[[#This Row],[Action]]</f>
        <v>DEPOSIT</v>
      </c>
      <c r="H19">
        <f>Transaction_Log!H51</f>
        <v>0</v>
      </c>
      <c r="I19">
        <f>tbl_transactions[[#This Row],[Quantity]]</f>
        <v>0</v>
      </c>
      <c r="J19">
        <f>tbl_transactions[[#This Row],[Price]]</f>
        <v>0</v>
      </c>
      <c r="K19" s="1">
        <f t="shared" si="0"/>
        <v>0</v>
      </c>
      <c r="L19" s="1">
        <f t="shared" si="1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23</v>
      </c>
      <c r="Q19">
        <f t="shared" si="6"/>
        <v>16489.129999999997</v>
      </c>
    </row>
    <row r="20" spans="1:30" x14ac:dyDescent="0.15">
      <c r="A20" s="1">
        <f>tbl_transactions[[#This Row],[Transaction ID]]</f>
        <v>0</v>
      </c>
      <c r="B20" s="2">
        <f>tbl_transactions[[#This Row],[Date]]</f>
        <v>0</v>
      </c>
      <c r="C20" s="3">
        <f>tbl_transactions[[#This Row],[Market]]</f>
        <v>0</v>
      </c>
      <c r="D20" s="4">
        <f>tbl_transactions[[#This Row],[Account]]</f>
        <v>0</v>
      </c>
      <c r="E20" s="1">
        <f>tbl_transactions[[#This Row],[Sequence]]</f>
        <v>0</v>
      </c>
      <c r="F20">
        <f>tbl_transactions[[#This Row],[Asset]]</f>
        <v>0</v>
      </c>
      <c r="G20" s="1">
        <f>tbl_transactions[[#This Row],[Action]]</f>
        <v>0</v>
      </c>
      <c r="H20">
        <f>Transaction_Log!H52</f>
        <v>0</v>
      </c>
      <c r="I20">
        <f>tbl_transactions[[#This Row],[Quantity]]</f>
        <v>0</v>
      </c>
      <c r="J20">
        <f>tbl_transactions[[#This Row],[Price]]</f>
        <v>0</v>
      </c>
      <c r="K20" s="1" t="str">
        <f t="shared" si="0"/>
        <v/>
      </c>
      <c r="L20" s="1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</row>
    <row r="21" spans="1:30" x14ac:dyDescent="0.15">
      <c r="A21" s="1">
        <f>tbl_transactions[[#This Row],[Transaction ID]]</f>
        <v>0</v>
      </c>
      <c r="B21" s="2">
        <f>tbl_transactions[[#This Row],[Date]]</f>
        <v>0</v>
      </c>
      <c r="C21" s="3">
        <f>tbl_transactions[[#This Row],[Market]]</f>
        <v>0</v>
      </c>
      <c r="D21" s="4">
        <f>tbl_transactions[[#This Row],[Account]]</f>
        <v>0</v>
      </c>
      <c r="E21" s="1">
        <f>tbl_transactions[[#This Row],[Sequence]]</f>
        <v>0</v>
      </c>
      <c r="F21">
        <f>tbl_transactions[[#This Row],[Asset]]</f>
        <v>0</v>
      </c>
      <c r="G21" s="1">
        <f>tbl_transactions[[#This Row],[Action]]</f>
        <v>0</v>
      </c>
      <c r="H21">
        <f>Transaction_Log!H53</f>
        <v>0</v>
      </c>
      <c r="I21">
        <f>tbl_transactions[[#This Row],[Quantity]]</f>
        <v>0</v>
      </c>
      <c r="J21">
        <f>tbl_transactions[[#This Row],[Price]]</f>
        <v>0</v>
      </c>
      <c r="K21" s="1" t="str">
        <f t="shared" si="0"/>
        <v/>
      </c>
      <c r="L21" s="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</row>
    <row r="22" spans="1:30" x14ac:dyDescent="0.15">
      <c r="A22" s="1">
        <f>tbl_transactions[[#This Row],[Transaction ID]]</f>
        <v>0</v>
      </c>
      <c r="B22" s="2">
        <f>tbl_transactions[[#This Row],[Date]]</f>
        <v>0</v>
      </c>
      <c r="C22" s="3">
        <f>tbl_transactions[[#This Row],[Market]]</f>
        <v>0</v>
      </c>
      <c r="D22" s="4">
        <f>tbl_transactions[[#This Row],[Account]]</f>
        <v>0</v>
      </c>
      <c r="E22" s="1">
        <f>tbl_transactions[[#This Row],[Sequence]]</f>
        <v>0</v>
      </c>
      <c r="F22">
        <f>tbl_transactions[[#This Row],[Asset]]</f>
        <v>0</v>
      </c>
      <c r="G22" s="1">
        <f>tbl_transactions[[#This Row],[Action]]</f>
        <v>0</v>
      </c>
      <c r="H22">
        <f>Transaction_Log!H54</f>
        <v>0</v>
      </c>
      <c r="I22">
        <f>tbl_transactions[[#This Row],[Quantity]]</f>
        <v>0</v>
      </c>
      <c r="J22">
        <f>tbl_transactions[[#This Row],[Price]]</f>
        <v>0</v>
      </c>
      <c r="K22" s="1" t="str">
        <f t="shared" si="0"/>
        <v/>
      </c>
      <c r="L22" s="1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</row>
    <row r="23" spans="1:30" x14ac:dyDescent="0.15">
      <c r="A23" s="1">
        <f>tbl_transactions[[#This Row],[Transaction ID]]</f>
        <v>0</v>
      </c>
      <c r="B23" s="2">
        <f>tbl_transactions[[#This Row],[Date]]</f>
        <v>0</v>
      </c>
      <c r="C23" s="3">
        <f>tbl_transactions[[#This Row],[Market]]</f>
        <v>0</v>
      </c>
      <c r="D23" s="4">
        <f>tbl_transactions[[#This Row],[Account]]</f>
        <v>0</v>
      </c>
      <c r="E23" s="1">
        <f>tbl_transactions[[#This Row],[Sequence]]</f>
        <v>0</v>
      </c>
      <c r="F23">
        <f>tbl_transactions[[#This Row],[Asset]]</f>
        <v>0</v>
      </c>
      <c r="G23" s="1">
        <f>tbl_transactions[[#This Row],[Action]]</f>
        <v>0</v>
      </c>
      <c r="H23">
        <f>Transaction_Log!H55</f>
        <v>0</v>
      </c>
      <c r="I23">
        <f>tbl_transactions[[#This Row],[Quantity]]</f>
        <v>0</v>
      </c>
      <c r="J23">
        <f>tbl_transactions[[#This Row],[Price]]</f>
        <v>0</v>
      </c>
      <c r="K23" s="1" t="str">
        <f t="shared" si="0"/>
        <v/>
      </c>
      <c r="L23" s="1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</row>
    <row r="24" spans="1:30" x14ac:dyDescent="0.15">
      <c r="A24" s="1">
        <f>tbl_transactions[[#This Row],[Transaction ID]]</f>
        <v>0</v>
      </c>
      <c r="B24" s="2">
        <f>tbl_transactions[[#This Row],[Date]]</f>
        <v>0</v>
      </c>
      <c r="C24" s="3">
        <f>tbl_transactions[[#This Row],[Market]]</f>
        <v>0</v>
      </c>
      <c r="D24" s="4">
        <f>tbl_transactions[[#This Row],[Account]]</f>
        <v>0</v>
      </c>
      <c r="E24" s="1">
        <f>tbl_transactions[[#This Row],[Sequence]]</f>
        <v>0</v>
      </c>
      <c r="F24">
        <f>tbl_transactions[[#This Row],[Asset]]</f>
        <v>0</v>
      </c>
      <c r="G24" s="1">
        <f>tbl_transactions[[#This Row],[Action]]</f>
        <v>0</v>
      </c>
      <c r="H24">
        <f>Transaction_Log!H56</f>
        <v>0</v>
      </c>
      <c r="I24">
        <f>tbl_transactions[[#This Row],[Quantity]]</f>
        <v>0</v>
      </c>
      <c r="J24">
        <f>tbl_transactions[[#This Row],[Price]]</f>
        <v>0</v>
      </c>
      <c r="K24" s="1" t="str">
        <f t="shared" si="0"/>
        <v/>
      </c>
      <c r="L24" s="1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</row>
    <row r="25" spans="1:30" x14ac:dyDescent="0.15">
      <c r="A25" s="1">
        <f>tbl_transactions[[#This Row],[Transaction ID]]</f>
        <v>0</v>
      </c>
      <c r="B25" s="2">
        <f>tbl_transactions[[#This Row],[Date]]</f>
        <v>0</v>
      </c>
      <c r="C25" s="3">
        <f>tbl_transactions[[#This Row],[Market]]</f>
        <v>0</v>
      </c>
      <c r="D25" s="4">
        <f>tbl_transactions[[#This Row],[Account]]</f>
        <v>0</v>
      </c>
      <c r="E25" s="1">
        <f>tbl_transactions[[#This Row],[Sequence]]</f>
        <v>0</v>
      </c>
      <c r="F25">
        <f>tbl_transactions[[#This Row],[Asset]]</f>
        <v>0</v>
      </c>
      <c r="G25" s="1">
        <f>tbl_transactions[[#This Row],[Action]]</f>
        <v>0</v>
      </c>
      <c r="H25">
        <f>Transaction_Log!H57</f>
        <v>0</v>
      </c>
      <c r="I25">
        <f>tbl_transactions[[#This Row],[Quantity]]</f>
        <v>0</v>
      </c>
      <c r="J25">
        <f>tbl_transactions[[#This Row],[Price]]</f>
        <v>0</v>
      </c>
      <c r="K25" s="1" t="str">
        <f t="shared" si="0"/>
        <v/>
      </c>
      <c r="L25" s="1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</row>
    <row r="26" spans="1:30" x14ac:dyDescent="0.15">
      <c r="A26" s="1">
        <f>tbl_transactions[[#This Row],[Transaction ID]]</f>
        <v>0</v>
      </c>
      <c r="B26" s="2">
        <f>tbl_transactions[[#This Row],[Date]]</f>
        <v>0</v>
      </c>
      <c r="C26" s="3">
        <f>tbl_transactions[[#This Row],[Market]]</f>
        <v>0</v>
      </c>
      <c r="D26" s="4">
        <f>tbl_transactions[[#This Row],[Account]]</f>
        <v>0</v>
      </c>
      <c r="E26" s="1">
        <f>tbl_transactions[[#This Row],[Sequence]]</f>
        <v>0</v>
      </c>
      <c r="F26">
        <f>tbl_transactions[[#This Row],[Asset]]</f>
        <v>0</v>
      </c>
      <c r="G26" s="1">
        <f>tbl_transactions[[#This Row],[Action]]</f>
        <v>0</v>
      </c>
      <c r="H26">
        <f>Transaction_Log!H58</f>
        <v>0</v>
      </c>
      <c r="I26">
        <f>tbl_transactions[[#This Row],[Quantity]]</f>
        <v>0</v>
      </c>
      <c r="J26">
        <f>tbl_transactions[[#This Row],[Price]]</f>
        <v>0</v>
      </c>
      <c r="K26" s="1" t="str">
        <f t="shared" si="0"/>
        <v/>
      </c>
      <c r="L26" s="1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</row>
    <row r="27" spans="1:30" x14ac:dyDescent="0.15">
      <c r="A27" s="1">
        <f>tbl_transactions[[#This Row],[Transaction ID]]</f>
        <v>0</v>
      </c>
      <c r="B27" s="2">
        <f>tbl_transactions[[#This Row],[Date]]</f>
        <v>0</v>
      </c>
      <c r="C27" s="3">
        <f>tbl_transactions[[#This Row],[Market]]</f>
        <v>0</v>
      </c>
      <c r="D27" s="4">
        <f>tbl_transactions[[#This Row],[Account]]</f>
        <v>0</v>
      </c>
      <c r="E27" s="1">
        <f>tbl_transactions[[#This Row],[Sequence]]</f>
        <v>0</v>
      </c>
      <c r="F27">
        <f>tbl_transactions[[#This Row],[Asset]]</f>
        <v>0</v>
      </c>
      <c r="G27" s="1">
        <f>tbl_transactions[[#This Row],[Action]]</f>
        <v>0</v>
      </c>
      <c r="H27">
        <f>Transaction_Log!H59</f>
        <v>0</v>
      </c>
      <c r="I27">
        <f>tbl_transactions[[#This Row],[Quantity]]</f>
        <v>0</v>
      </c>
      <c r="J27">
        <f>tbl_transactions[[#This Row],[Price]]</f>
        <v>0</v>
      </c>
      <c r="K27" s="1" t="str">
        <f t="shared" si="0"/>
        <v/>
      </c>
      <c r="L27" s="1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</row>
    <row r="28" spans="1:30" x14ac:dyDescent="0.15">
      <c r="A28" s="1">
        <f>tbl_transactions[[#This Row],[Transaction ID]]</f>
        <v>0</v>
      </c>
      <c r="B28" s="2">
        <f>tbl_transactions[[#This Row],[Date]]</f>
        <v>0</v>
      </c>
      <c r="C28" s="3">
        <f>tbl_transactions[[#This Row],[Market]]</f>
        <v>0</v>
      </c>
      <c r="D28" s="4">
        <f>tbl_transactions[[#This Row],[Account]]</f>
        <v>0</v>
      </c>
      <c r="E28" s="1">
        <f>tbl_transactions[[#This Row],[Sequence]]</f>
        <v>0</v>
      </c>
      <c r="F28">
        <f>tbl_transactions[[#This Row],[Asset]]</f>
        <v>0</v>
      </c>
      <c r="G28" s="1">
        <f>tbl_transactions[[#This Row],[Action]]</f>
        <v>0</v>
      </c>
      <c r="H28">
        <f>Transaction_Log!H60</f>
        <v>0</v>
      </c>
      <c r="I28">
        <f>tbl_transactions[[#This Row],[Quantity]]</f>
        <v>0</v>
      </c>
      <c r="J28">
        <f>tbl_transactions[[#This Row],[Price]]</f>
        <v>0</v>
      </c>
      <c r="K28" s="1" t="str">
        <f t="shared" si="0"/>
        <v/>
      </c>
      <c r="L28" s="1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</row>
    <row r="29" spans="1:30" x14ac:dyDescent="0.15">
      <c r="A29" s="1">
        <f>tbl_transactions[[#This Row],[Transaction ID]]</f>
        <v>0</v>
      </c>
      <c r="B29" s="2">
        <f>tbl_transactions[[#This Row],[Date]]</f>
        <v>0</v>
      </c>
      <c r="C29" s="3">
        <f>tbl_transactions[[#This Row],[Market]]</f>
        <v>0</v>
      </c>
      <c r="D29" s="4">
        <f>tbl_transactions[[#This Row],[Account]]</f>
        <v>0</v>
      </c>
      <c r="E29" s="1">
        <f>tbl_transactions[[#This Row],[Sequence]]</f>
        <v>0</v>
      </c>
      <c r="F29">
        <f>tbl_transactions[[#This Row],[Asset]]</f>
        <v>0</v>
      </c>
      <c r="G29" s="1">
        <f>tbl_transactions[[#This Row],[Action]]</f>
        <v>0</v>
      </c>
      <c r="H29">
        <f>Transaction_Log!H61</f>
        <v>0</v>
      </c>
      <c r="I29">
        <f>tbl_transactions[[#This Row],[Quantity]]</f>
        <v>0</v>
      </c>
      <c r="J29">
        <f>tbl_transactions[[#This Row],[Price]]</f>
        <v>0</v>
      </c>
      <c r="K29" s="1" t="str">
        <f t="shared" si="0"/>
        <v/>
      </c>
      <c r="L29" s="1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</row>
    <row r="30" spans="1:30" x14ac:dyDescent="0.15">
      <c r="A30" s="1">
        <f>tbl_transactions[[#This Row],[Transaction ID]]</f>
        <v>0</v>
      </c>
      <c r="B30" s="2">
        <f>tbl_transactions[[#This Row],[Date]]</f>
        <v>0</v>
      </c>
      <c r="C30" s="3">
        <f>tbl_transactions[[#This Row],[Market]]</f>
        <v>0</v>
      </c>
      <c r="D30" s="4">
        <f>tbl_transactions[[#This Row],[Account]]</f>
        <v>0</v>
      </c>
      <c r="E30" s="1">
        <f>tbl_transactions[[#This Row],[Sequence]]</f>
        <v>0</v>
      </c>
      <c r="F30">
        <f>tbl_transactions[[#This Row],[Asset]]</f>
        <v>0</v>
      </c>
      <c r="G30" s="1">
        <f>tbl_transactions[[#This Row],[Action]]</f>
        <v>0</v>
      </c>
      <c r="H30">
        <f>Transaction_Log!H62</f>
        <v>0</v>
      </c>
      <c r="I30">
        <f>tbl_transactions[[#This Row],[Quantity]]</f>
        <v>0</v>
      </c>
      <c r="J30">
        <f>tbl_transactions[[#This Row],[Price]]</f>
        <v>0</v>
      </c>
      <c r="K30" s="1" t="str">
        <f t="shared" si="0"/>
        <v/>
      </c>
      <c r="L30" s="1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</row>
    <row r="31" spans="1:30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15">
      <c r="C66" s="3"/>
      <c r="G66" s="1"/>
      <c r="K66" t="str">
        <f>IF(G66&lt;&gt;"",IF(AND(I66&lt;&gt;"",J66&lt;&gt;""),ROUND((I66*J66)*0.00075,2),0),"")</f>
        <v/>
      </c>
      <c r="L66" t="str">
        <f>IF(G66&lt;&gt;"",IF(AND(I66&lt;&gt;"",J66&lt;&gt;""),ROUND((I66*J66)*0.00007,2),0),"")</f>
        <v/>
      </c>
      <c r="M66" t="str">
        <f t="shared" ref="M3:M80" si="7">IF(AND(K66&lt;&gt;"",L66&lt;&gt;""),ROUND((K66+L66)*0.07,2),"")</f>
        <v/>
      </c>
      <c r="N66" t="str">
        <f>IF(F66="cash",0,IF(F66&lt;&gt;"",I66*J66,""))</f>
        <v/>
      </c>
      <c r="O66" t="str">
        <f>IF(G66&lt;&gt;"",IF(AND(I66&lt;&gt;"",J66&lt;&gt;"",K66&lt;&gt;"",L66&lt;&gt;"",G66="BUY"),(I66*J66)+K66+L66+M66,IF(AND(I66&lt;&gt;"",J66&lt;&gt;"",K66&lt;&gt;"",L66&lt;&gt;"",G66="SELL"),(I66*J66)-(K66+L66+M66),H66)),"")</f>
        <v/>
      </c>
      <c r="P66" t="str">
        <f>IF(G66&lt;&gt;"",IF(AND(G66="DEPOSIT",F66="cash"),H66+P65,IF(AND(G66="TRANSFER_TO_BROKER",F66="cash"),P65-H66,IF(AND(G66="DIVIDEND",F66&lt;&gt;""),H66+P65,P65))),"")</f>
        <v/>
      </c>
      <c r="Q66" t="str">
        <f>IF(G66&lt;&gt;"",IF(G66="DEPOSIT_B",H66+Q65,IF(G66="BUY", Q65-O66,IF(G66="SELL", O66+Q65, Q65))), "")</f>
        <v/>
      </c>
    </row>
    <row r="67" spans="1:30" x14ac:dyDescent="0.15">
      <c r="C67" s="3"/>
      <c r="G67" s="1"/>
      <c r="K67" t="str">
        <f>IF(G67&lt;&gt;"",IF(AND(I67&lt;&gt;"",J67&lt;&gt;""),ROUND((I67*J67)*0.00075,2),0),"")</f>
        <v/>
      </c>
      <c r="L67" t="str">
        <f>IF(G67&lt;&gt;"",IF(AND(I67&lt;&gt;"",J67&lt;&gt;""),ROUND((I67*J67)*0.00007,2),0),"")</f>
        <v/>
      </c>
      <c r="M67" t="str">
        <f t="shared" si="7"/>
        <v/>
      </c>
      <c r="N67" t="str">
        <f>IF(F67="cash",0,IF(F67&lt;&gt;"",I67*J67,""))</f>
        <v/>
      </c>
      <c r="O67" t="str">
        <f>IF(G67&lt;&gt;"",IF(AND(I67&lt;&gt;"",J67&lt;&gt;"",K67&lt;&gt;"",L67&lt;&gt;"",G67="BUY"),(I67*J67)+K67+L67+M67,IF(AND(I67&lt;&gt;"",J67&lt;&gt;"",K67&lt;&gt;"",L67&lt;&gt;"",G67="SELL"),(I67*J67)-(K67+L67+M67),H67)),"")</f>
        <v/>
      </c>
      <c r="P67" t="str">
        <f>IF(G67&lt;&gt;"",IF(AND(G67="DEPOSIT",F67="cash"),H67+P66,IF(AND(G67="TRANSFER_TO_BROKER",F67="cash"),P66-H67,IF(AND(G67="DIVIDEND",F67&lt;&gt;""),H67+P66,P66))),"")</f>
        <v/>
      </c>
      <c r="Q67" t="str">
        <f>IF(G67&lt;&gt;"",IF(G67="DEPOSIT_B",H67+Q66,IF(G67="BUY", Q66-O67,IF(G67="SELL", O67+Q66, Q66))), "")</f>
        <v/>
      </c>
    </row>
    <row r="68" spans="1:30" x14ac:dyDescent="0.15">
      <c r="C68" s="3"/>
      <c r="G68" s="1"/>
      <c r="K68" t="str">
        <f>IF(G68&lt;&gt;"",IF(AND(I68&lt;&gt;"",J68&lt;&gt;""),ROUND((I68*J68)*0.00075,2),0),"")</f>
        <v/>
      </c>
      <c r="L68" t="str">
        <f>IF(G68&lt;&gt;"",IF(AND(I68&lt;&gt;"",J68&lt;&gt;""),ROUND((I68*J68)*0.00007,2),0),"")</f>
        <v/>
      </c>
      <c r="M68" t="str">
        <f t="shared" si="7"/>
        <v/>
      </c>
      <c r="N68" t="str">
        <f>IF(F68="cash",0,IF(F68&lt;&gt;"",I68*J68,""))</f>
        <v/>
      </c>
      <c r="O68" t="str">
        <f>IF(G68&lt;&gt;"",IF(AND(I68&lt;&gt;"",J68&lt;&gt;"",K68&lt;&gt;"",L68&lt;&gt;"",G68="BUY"),(I68*J68)+K68+L68+M68,IF(AND(I68&lt;&gt;"",J68&lt;&gt;"",K68&lt;&gt;"",L68&lt;&gt;"",G68="SELL"),(I68*J68)-(K68+L68+M68),H68)),"")</f>
        <v/>
      </c>
      <c r="P68" t="str">
        <f>IF(G68&lt;&gt;"",IF(AND(G68="DEPOSIT",F68="cash"),H68+P67,IF(AND(G68="TRANSFER_TO_BROKER",F68="cash"),P67-H68,IF(AND(G68="DIVIDEND",F68&lt;&gt;""),H68+P67,P67))),"")</f>
        <v/>
      </c>
      <c r="Q68" t="str">
        <f>IF(G68&lt;&gt;"",IF(G68="DEPOSIT_B",H68+Q67,IF(G68="BUY", Q67-O68,IF(G68="SELL", O68+Q67, Q67))), "")</f>
        <v/>
      </c>
    </row>
    <row r="69" spans="1:30" x14ac:dyDescent="0.15">
      <c r="C69" s="3"/>
      <c r="G69" s="1"/>
      <c r="K69" t="str">
        <f>IF(G69&lt;&gt;"",IF(AND(I69&lt;&gt;"",J69&lt;&gt;""),ROUND((I69*J69)*0.00075,2),0),"")</f>
        <v/>
      </c>
      <c r="L69" s="2"/>
      <c r="M69" t="str">
        <f t="shared" si="7"/>
        <v/>
      </c>
      <c r="N69" t="str">
        <f>IF(F69="cash",0,IF(F69&lt;&gt;"",I69*J69,""))</f>
        <v/>
      </c>
      <c r="O69" t="str">
        <f>IF(G69&lt;&gt;"",IF(AND(I69&lt;&gt;"",J69&lt;&gt;"",K69&lt;&gt;"",L69&lt;&gt;"",G69="BUY"),(I69*J69)+K69+L69+M69,IF(AND(I69&lt;&gt;"",J69&lt;&gt;"",K69&lt;&gt;"",L69&lt;&gt;"",G69="SELL"),(I69*J69)-(K69+L69+M69),H69)),"")</f>
        <v/>
      </c>
      <c r="P69" t="str">
        <f>IF(G69&lt;&gt;"",IF(AND(G69="DEPOSIT",F69="cash"),H69+P68,IF(AND(G69="TRANSFER_TO_BROKER",F69="cash"),P68-H69,IF(AND(G69="DIVIDEND",F69&lt;&gt;""),H69+P68,P68))),"")</f>
        <v/>
      </c>
      <c r="Q69" t="str">
        <f>IF(G69&lt;&gt;"",IF(G69="DEPOSIT_B",H69+Q68,IF(G69="BUY", Q68-O69,IF(G69="SELL", O69+Q68, Q68))), "")</f>
        <v/>
      </c>
    </row>
    <row r="70" spans="1:30" x14ac:dyDescent="0.15">
      <c r="C70" s="3"/>
      <c r="G70" s="1"/>
      <c r="K70" t="str">
        <f>IF(G70&lt;&gt;"",IF(AND(I70&lt;&gt;"",J70&lt;&gt;""),ROUND((I70*J70)*0.00075,2),0),"")</f>
        <v/>
      </c>
      <c r="L70" s="2"/>
      <c r="M70" t="str">
        <f t="shared" si="7"/>
        <v/>
      </c>
      <c r="N70" t="str">
        <f>IF(F70="cash",0,IF(F70&lt;&gt;"",I70*J70,""))</f>
        <v/>
      </c>
      <c r="O70" t="str">
        <f>IF(G70&lt;&gt;"",IF(AND(I70&lt;&gt;"",J70&lt;&gt;"",K70&lt;&gt;"",L70&lt;&gt;"",G70="BUY"),(I70*J70)+K70+L70+M70,IF(AND(I70&lt;&gt;"",J70&lt;&gt;"",K70&lt;&gt;"",L70&lt;&gt;"",G70="SELL"),(I70*J70)-(K70+L70+M70),H70)),"")</f>
        <v/>
      </c>
      <c r="P70" t="str">
        <f>IF(G70&lt;&gt;"",IF(AND(G70="DEPOSIT",F70="cash"),H70+P69,IF(AND(G70="TRANSFER_TO_BROKER",F70="cash"),P69-H70,IF(AND(G70="DIVIDEND",F70&lt;&gt;""),H70+P69,P69))),"")</f>
        <v/>
      </c>
      <c r="Q70" t="str">
        <f>IF(G70&lt;&gt;"",IF(G70="DEPOSIT_B",H70+Q69,IF(G70="BUY", Q69-O70,IF(G70="SELL", O70+Q69, Q69))), "")</f>
        <v/>
      </c>
    </row>
    <row r="71" spans="1:30" x14ac:dyDescent="0.15">
      <c r="C71" s="3"/>
      <c r="G71" s="1"/>
      <c r="K71" t="str">
        <f>IF(G71&lt;&gt;"",IF(AND(I71&lt;&gt;"",J71&lt;&gt;""),ROUND((I71*J71)*0.00075,2),0),"")</f>
        <v/>
      </c>
      <c r="L71" s="2"/>
      <c r="M71" t="str">
        <f t="shared" si="7"/>
        <v/>
      </c>
      <c r="N71" t="str">
        <f>IF(F71="cash",0,IF(F71&lt;&gt;"",I71*J71,""))</f>
        <v/>
      </c>
      <c r="O71" t="str">
        <f>IF(G71&lt;&gt;"",IF(AND(I71&lt;&gt;"",J71&lt;&gt;"",K71&lt;&gt;"",L71&lt;&gt;"",G71="BUY"),(I71*J71)+K71+L71+M71,IF(AND(I71&lt;&gt;"",J71&lt;&gt;"",K71&lt;&gt;"",L71&lt;&gt;"",G71="SELL"),(I71*J71)-(K71+L71+M71),H71)),"")</f>
        <v/>
      </c>
      <c r="P71" t="str">
        <f>IF(G71&lt;&gt;"",IF(AND(G71="DEPOSIT",F71="cash"),H71+P70,IF(AND(G71="TRANSFER_TO_BROKER",F71="cash"),P70-H71,IF(AND(G71="DIVIDEND",F71&lt;&gt;""),H71+P70,P70))),"")</f>
        <v/>
      </c>
      <c r="Q71" t="str">
        <f>IF(G71&lt;&gt;"",IF(G71="DEPOSIT_B",H71+Q70,IF(G71="BUY", Q70-O71,IF(G71="SELL", O71+Q70, Q70))), "")</f>
        <v/>
      </c>
    </row>
    <row r="72" spans="1:30" x14ac:dyDescent="0.15">
      <c r="C72" s="3"/>
      <c r="G72" s="1"/>
      <c r="K72" t="str">
        <f>IF(G72&lt;&gt;"",IF(AND(I72&lt;&gt;"",J72&lt;&gt;""),ROUND((I72*J72)*0.00075,2),0),"")</f>
        <v/>
      </c>
      <c r="L72" t="str">
        <f>IF(G72&lt;&gt;"",IF(AND(I72&lt;&gt;"",J72&lt;&gt;""),ROUND((I72*J72)*0.00007,2),0),"")</f>
        <v/>
      </c>
      <c r="M72" t="str">
        <f t="shared" si="7"/>
        <v/>
      </c>
      <c r="N72" t="str">
        <f>IF(F72="cash",0,IF(F72&lt;&gt;"",I72*J72,""))</f>
        <v/>
      </c>
      <c r="O72" t="str">
        <f>IF(G72&lt;&gt;"",IF(AND(I72&lt;&gt;"",J72&lt;&gt;"",K72&lt;&gt;"",L72&lt;&gt;"",G72="BUY"),(I72*J72)+K72+L72+M72,IF(AND(I72&lt;&gt;"",J72&lt;&gt;"",K72&lt;&gt;"",L72&lt;&gt;"",G72="SELL"),(I72*J72)-(K72+L72+M72),H72)),"")</f>
        <v/>
      </c>
      <c r="P72" t="str">
        <f>IF(G72&lt;&gt;"",IF(AND(G72="DEPOSIT",F72="cash"),H72+P71,IF(AND(G72="TRANSFER_TO_BROKER",F72="cash"),P71-H72,IF(AND(G72="DIVIDEND",F72&lt;&gt;""),H72+P71,P71))),"")</f>
        <v/>
      </c>
      <c r="Q72" t="str">
        <f>IF(G72&lt;&gt;"",IF(G72="DEPOSIT_B",H72+Q71,IF(G72="BUY", Q71-O72,IF(G72="SELL", O72+Q71, Q71))), "")</f>
        <v/>
      </c>
    </row>
    <row r="73" spans="1:30" x14ac:dyDescent="0.15">
      <c r="C73" s="3"/>
      <c r="G73" s="1"/>
      <c r="K73" t="str">
        <f>IF(G73&lt;&gt;"",IF(AND(I73&lt;&gt;"",J73&lt;&gt;""),ROUND((I73*J73)*0.00075,2),0),"")</f>
        <v/>
      </c>
      <c r="L73" t="str">
        <f>IF(G73&lt;&gt;"",IF(AND(I73&lt;&gt;"",J73&lt;&gt;""),ROUND((I73*J73)*0.00007,2),0),"")</f>
        <v/>
      </c>
      <c r="M73" t="str">
        <f t="shared" si="7"/>
        <v/>
      </c>
      <c r="N73" t="str">
        <f>IF(F73="cash",0,IF(F73&lt;&gt;"",I73*J73,""))</f>
        <v/>
      </c>
      <c r="O73" t="str">
        <f>IF(G73&lt;&gt;"",IF(AND(I73&lt;&gt;"",J73&lt;&gt;"",K73&lt;&gt;"",L73&lt;&gt;"",G73="BUY"),(I73*J73)+K73+L73+M73,IF(AND(I73&lt;&gt;"",J73&lt;&gt;"",K73&lt;&gt;"",L73&lt;&gt;"",G73="SELL"),(I73*J73)-(K73+L73+M73),H73)),"")</f>
        <v/>
      </c>
      <c r="P73" t="str">
        <f>IF(G73&lt;&gt;"",IF(AND(G73="DEPOSIT",F73="cash"),H73+P72,IF(AND(G73="TRANSFER_TO_BROKER",F73="cash"),P72-H73,IF(AND(G73="DIVIDEND",F73&lt;&gt;""),H73+P72,P72))),"")</f>
        <v/>
      </c>
      <c r="Q73" t="str">
        <f>IF(G73&lt;&gt;"",IF(G73="DEPOSIT_B",H73+Q72,IF(G73="BUY", Q72-O73,IF(G73="SELL", O73+Q72, Q72))), "")</f>
        <v/>
      </c>
    </row>
    <row r="74" spans="1:30" x14ac:dyDescent="0.15">
      <c r="C74" s="3"/>
      <c r="G74" s="1"/>
      <c r="K74" t="str">
        <f>IF(G74&lt;&gt;"",IF(AND(I74&lt;&gt;"",J74&lt;&gt;""),ROUND((I74*J74)*0.00075,2),0),"")</f>
        <v/>
      </c>
      <c r="L74" t="str">
        <f>IF(G74&lt;&gt;"",IF(AND(I74&lt;&gt;"",J74&lt;&gt;""),ROUND((I74*J74)*0.00007,2),0),"")</f>
        <v/>
      </c>
      <c r="M74" t="str">
        <f t="shared" si="7"/>
        <v/>
      </c>
      <c r="N74" t="str">
        <f>IF(F74="cash",0,IF(F74&lt;&gt;"",I74*J74,""))</f>
        <v/>
      </c>
      <c r="O74" t="str">
        <f>IF(G74&lt;&gt;"",IF(AND(I74&lt;&gt;"",J74&lt;&gt;"",K74&lt;&gt;"",L74&lt;&gt;"",G74="BUY"),(I74*J74)+K74+L74+M74,IF(AND(I74&lt;&gt;"",J74&lt;&gt;"",K74&lt;&gt;"",L74&lt;&gt;"",G74="SELL"),(I74*J74)-(K74+L74+M74),H74)),"")</f>
        <v/>
      </c>
      <c r="P74" t="str">
        <f>IF(G74&lt;&gt;"",IF(AND(G74="DEPOSIT",F74="cash"),H74+P73,IF(AND(G74="TRANSFER_TO_BROKER",F74="cash"),P73-H74,IF(AND(G74="DIVIDEND",F74&lt;&gt;""),H74+P73,P73))),"")</f>
        <v/>
      </c>
      <c r="Q74" t="str">
        <f>IF(G74&lt;&gt;"",IF(G74="DEPOSIT_B",H74+Q73,IF(G74="BUY", Q73-O74,IF(G74="SELL", O74+Q73, Q73))), "")</f>
        <v/>
      </c>
    </row>
    <row r="75" spans="1:30" x14ac:dyDescent="0.15">
      <c r="C75" s="3"/>
      <c r="G75" s="1"/>
      <c r="K75" t="str">
        <f>IF(G75&lt;&gt;"",IF(AND(I75&lt;&gt;"",J75&lt;&gt;""),ROUND((I75*J75)*0.00075,2),0),"")</f>
        <v/>
      </c>
      <c r="L75" t="str">
        <f>IF(G75&lt;&gt;"",IF(AND(I75&lt;&gt;"",J75&lt;&gt;""),ROUND((I75*J75)*0.00007,2),0),"")</f>
        <v/>
      </c>
      <c r="M75" t="str">
        <f t="shared" si="7"/>
        <v/>
      </c>
      <c r="N75" t="str">
        <f>IF(F75="cash",0,IF(F75&lt;&gt;"",I75*J75,""))</f>
        <v/>
      </c>
      <c r="O75" t="str">
        <f>IF(G75&lt;&gt;"",IF(AND(I75&lt;&gt;"",J75&lt;&gt;"",K75&lt;&gt;"",L75&lt;&gt;"",G75="BUY"),(I75*J75)+K75+L75+M75,IF(AND(I75&lt;&gt;"",J75&lt;&gt;"",K75&lt;&gt;"",L75&lt;&gt;"",G75="SELL"),(I75*J75)-(K75+L75+M75),H75)),"")</f>
        <v/>
      </c>
      <c r="P75" t="str">
        <f>IF(G75&lt;&gt;"",IF(AND(G75="DEPOSIT",F75="cash"),H75+P74,IF(AND(G75="TRANSFER_TO_BROKER",F75="cash"),P74-H75,IF(AND(G75="DIVIDEND",F75&lt;&gt;""),H75+P74,P74))),"")</f>
        <v/>
      </c>
      <c r="Q75" t="str">
        <f>IF(G75&lt;&gt;"",IF(G75="DEPOSIT_B",H75+Q74,IF(G75="BUY", Q74-O75,IF(G75="SELL", O75+Q74, Q74))), "")</f>
        <v/>
      </c>
    </row>
    <row r="76" spans="1:30" x14ac:dyDescent="0.15">
      <c r="C76" s="3"/>
      <c r="G76" s="1"/>
      <c r="K76" t="str">
        <f>IF(G76&lt;&gt;"",IF(AND(I76&lt;&gt;"",J76&lt;&gt;""),ROUND((I76*J76)*0.00075,2),0),"")</f>
        <v/>
      </c>
      <c r="L76" t="str">
        <f>IF(G76&lt;&gt;"",IF(AND(I76&lt;&gt;"",J76&lt;&gt;""),ROUND((I76*J76)*0.00007,2),0),"")</f>
        <v/>
      </c>
      <c r="M76" t="str">
        <f t="shared" si="7"/>
        <v/>
      </c>
      <c r="N76" t="str">
        <f>IF(F76="cash",0,IF(F76&lt;&gt;"",I76*J76,""))</f>
        <v/>
      </c>
      <c r="O76" t="str">
        <f>IF(G76&lt;&gt;"",IF(AND(I76&lt;&gt;"",J76&lt;&gt;"",K76&lt;&gt;"",L76&lt;&gt;"",G76="BUY"),(I76*J76)+K76+L76+M76,IF(AND(I76&lt;&gt;"",J76&lt;&gt;"",K76&lt;&gt;"",L76&lt;&gt;"",G76="SELL"),(I76*J76)-(K76+L76+M76),H76)),"")</f>
        <v/>
      </c>
      <c r="P76" t="str">
        <f>IF(G76&lt;&gt;"",IF(AND(G76="DEPOSIT",F76="cash"),H76+P75,IF(AND(G76="TRANSFER_TO_BROKER",F76="cash"),P75-H76,IF(AND(G76="DIVIDEND",F76&lt;&gt;""),H76+P75,P75))),"")</f>
        <v/>
      </c>
      <c r="Q76" t="str">
        <f>IF(G76&lt;&gt;"",IF(G76="DEPOSIT_B",H76+Q75,IF(G76="BUY", Q75-O76,IF(G76="SELL", O76+Q75, Q75))), "")</f>
        <v/>
      </c>
    </row>
    <row r="77" spans="1:30" x14ac:dyDescent="0.15">
      <c r="C77" s="3"/>
      <c r="G77" s="1"/>
      <c r="K77" t="str">
        <f>IF(G77&lt;&gt;"",IF(AND(I77&lt;&gt;"",J77&lt;&gt;""),ROUND((I77*J77)*0.00075,2),0),"")</f>
        <v/>
      </c>
      <c r="L77" t="str">
        <f>IF(G77&lt;&gt;"",IF(AND(I77&lt;&gt;"",J77&lt;&gt;""),ROUND((I77*J77)*0.00007,2),0),"")</f>
        <v/>
      </c>
      <c r="M77" t="str">
        <f t="shared" si="7"/>
        <v/>
      </c>
      <c r="N77" t="str">
        <f>IF(F77="cash",0,IF(F77&lt;&gt;"",I77*J77,""))</f>
        <v/>
      </c>
      <c r="O77" t="str">
        <f>IF(G77&lt;&gt;"",IF(AND(I77&lt;&gt;"",J77&lt;&gt;"",K77&lt;&gt;"",L77&lt;&gt;"",G77="BUY"),(I77*J77)+K77+L77+M77,IF(AND(I77&lt;&gt;"",J77&lt;&gt;"",K77&lt;&gt;"",L77&lt;&gt;"",G77="SELL"),(I77*J77)-(K77+L77+M77),H77)),"")</f>
        <v/>
      </c>
      <c r="P77" t="str">
        <f>IF(G77&lt;&gt;"",IF(AND(G77="DEPOSIT",F77="cash"),H77+P76,IF(AND(G77="TRANSFER_TO_BROKER",F77="cash"),P76-H77,IF(AND(G77="DIVIDEND",F77&lt;&gt;""),H77+P76,P76))),"")</f>
        <v/>
      </c>
      <c r="Q77" t="str">
        <f>IF(G77&lt;&gt;"",IF(G77="DEPOSIT_B",H77+Q76,IF(G77="BUY", Q76-O77,IF(G77="SELL", O77+Q76, Q76))), "")</f>
        <v/>
      </c>
    </row>
    <row r="78" spans="1:30" x14ac:dyDescent="0.15">
      <c r="C78" s="3"/>
      <c r="G78" s="1"/>
      <c r="K78" t="str">
        <f>IF(G78&lt;&gt;"",IF(AND(I78&lt;&gt;"",J78&lt;&gt;""),ROUND((I78*J78)*0.00075,2),0),"")</f>
        <v/>
      </c>
      <c r="L78" t="str">
        <f>IF(G78&lt;&gt;"",IF(AND(I78&lt;&gt;"",J78&lt;&gt;""),ROUND((I78*J78)*0.00007,2),0),"")</f>
        <v/>
      </c>
      <c r="M78" t="str">
        <f t="shared" si="7"/>
        <v/>
      </c>
      <c r="N78" t="str">
        <f>IF(F78="cash",0,IF(F78&lt;&gt;"",I78*J78,""))</f>
        <v/>
      </c>
      <c r="O78" t="str">
        <f>IF(G78&lt;&gt;"",IF(AND(I78&lt;&gt;"",J78&lt;&gt;"",K78&lt;&gt;"",L78&lt;&gt;"",G78="BUY"),(I78*J78)+K78+L78+M78,IF(AND(I78&lt;&gt;"",J78&lt;&gt;"",K78&lt;&gt;"",L78&lt;&gt;"",G78="SELL"),(I78*J78)-(K78+L78+M78),H78)),"")</f>
        <v/>
      </c>
      <c r="P78" t="str">
        <f>IF(G78&lt;&gt;"",IF(AND(G78="DEPOSIT",F78="cash"),H78+P77,IF(AND(G78="TRANSFER_TO_BROKER",F78="cash"),P77-H78,IF(AND(G78="DIVIDEND",F78&lt;&gt;""),H78+P77,P77))),"")</f>
        <v/>
      </c>
      <c r="Q78" t="str">
        <f>IF(G78&lt;&gt;"",IF(G78="DEPOSIT_B",H78+Q77,IF(G78="BUY", Q77-O78,IF(G78="SELL", O78+Q77, Q77))), "")</f>
        <v/>
      </c>
    </row>
    <row r="79" spans="1:30" x14ac:dyDescent="0.15">
      <c r="C79" s="3"/>
      <c r="G79" s="1"/>
      <c r="K79" t="str">
        <f>IF(G79&lt;&gt;"",IF(AND(I79&lt;&gt;"",J79&lt;&gt;""),ROUND((I79*J79)*0.00075,2),0),"")</f>
        <v/>
      </c>
      <c r="L79" t="str">
        <f>IF(G79&lt;&gt;"",IF(AND(I79&lt;&gt;"",J79&lt;&gt;""),ROUND((I79*J79)*0.00007,2),0),"")</f>
        <v/>
      </c>
      <c r="M79" t="str">
        <f t="shared" si="7"/>
        <v/>
      </c>
      <c r="N79" t="str">
        <f>IF(F79="cash",0,IF(F79&lt;&gt;"",I79*J79,""))</f>
        <v/>
      </c>
      <c r="O79" t="str">
        <f>IF(G79&lt;&gt;"",IF(AND(I79&lt;&gt;"",J79&lt;&gt;"",K79&lt;&gt;"",L79&lt;&gt;"",G79="BUY"),(I79*J79)+K79+L79+M79,IF(AND(I79&lt;&gt;"",J79&lt;&gt;"",K79&lt;&gt;"",L79&lt;&gt;"",G79="SELL"),(I79*J79)-(K79+L79+M79),H79)),"")</f>
        <v/>
      </c>
      <c r="P79" t="str">
        <f>IF(G79&lt;&gt;"",IF(AND(G79="DEPOSIT",F79="cash"),H79+P78,IF(AND(G79="TRANSFER_TO_BROKER",F79="cash"),P78-H79,IF(AND(G79="DIVIDEND",F79&lt;&gt;""),H79+P78,P78))),"")</f>
        <v/>
      </c>
      <c r="Q79" t="str">
        <f>IF(G79&lt;&gt;"",IF(G79="DEPOSIT_B",H79+Q78,IF(G79="BUY", Q78-O79,IF(G79="SELL", O79+Q78, Q78))), "")</f>
        <v/>
      </c>
    </row>
    <row r="80" spans="1:30" x14ac:dyDescent="0.15">
      <c r="C80" s="3"/>
      <c r="G80" s="1"/>
      <c r="K80" t="str">
        <f>IF(G80&lt;&gt;"",IF(AND(I80&lt;&gt;"",J80&lt;&gt;""),ROUND((I80*J80)*0.00075,2),0),"")</f>
        <v/>
      </c>
      <c r="L80" t="str">
        <f>IF(G80&lt;&gt;"",IF(AND(I80&lt;&gt;"",J80&lt;&gt;""),ROUND((I80*J80)*0.00007,2),0),"")</f>
        <v/>
      </c>
      <c r="M80" t="str">
        <f t="shared" si="7"/>
        <v/>
      </c>
      <c r="N80" t="str">
        <f>IF(F80="cash",0,IF(F80&lt;&gt;"",I80*J80,""))</f>
        <v/>
      </c>
      <c r="O80" t="str">
        <f>IF(G80&lt;&gt;"",IF(AND(I80&lt;&gt;"",J80&lt;&gt;"",K80&lt;&gt;"",L80&lt;&gt;"",G80="BUY"),(I80*J80)+K80+L80+M80,IF(AND(I80&lt;&gt;"",J80&lt;&gt;"",K80&lt;&gt;"",L80&lt;&gt;"",G80="SELL"),(I80*J80)-(K80+L80+M80),H80)),"")</f>
        <v/>
      </c>
      <c r="P80" t="str">
        <f>IF(G80&lt;&gt;"",IF(AND(G80="DEPOSIT",F80="cash"),H80+P79,IF(AND(G80="TRANSFER_TO_BROKER",F80="cash"),P79-H80,IF(AND(G80="DIVIDEND",F80&lt;&gt;""),H80+P79,P79))),"")</f>
        <v/>
      </c>
      <c r="Q80" t="str">
        <f>IF(G80&lt;&gt;"",IF(G80="DEPOSIT_B",H80+Q79,IF(G80="BUY", Q79-O80,IF(G80="SELL", O80+Q79, Q79))), "")</f>
        <v/>
      </c>
    </row>
  </sheetData>
  <dataValidations count="3">
    <dataValidation type="date" allowBlank="1" showInputMessage="1" showErrorMessage="1" sqref="B1:B30 A66:A80 C66:E80" xr:uid="{6834284F-7A3F-46B3-98B5-392E11C7B3D2}">
      <formula1>36526</formula1>
      <formula2>72716</formula2>
    </dataValidation>
    <dataValidation type="decimal" allowBlank="1" showInputMessage="1" showErrorMessage="1" sqref="H1 H66:H1048576" xr:uid="{82F1CB98-00AB-4CC4-88E8-0D71CD3BD8D5}">
      <formula1>0</formula1>
      <formula2>100000000000</formula2>
    </dataValidation>
    <dataValidation allowBlank="1" showInputMessage="1" showErrorMessage="1" sqref="H2:H30 I1:I30 I66:I1048576" xr:uid="{25489990-3F26-438A-ACCF-17727C242C32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8A0A-4063-4D4E-BD99-24D1F2AB4801}">
  <sheetPr>
    <tabColor rgb="FFFF0000"/>
  </sheetPr>
  <dimension ref="A1:J19"/>
  <sheetViews>
    <sheetView tabSelected="1" topLeftCell="B1" workbookViewId="0">
      <selection activeCell="I42" sqref="I42"/>
    </sheetView>
  </sheetViews>
  <sheetFormatPr defaultRowHeight="14.25" x14ac:dyDescent="0.15"/>
  <cols>
    <col min="1" max="1" width="13.86328125" customWidth="1"/>
    <col min="2" max="2" width="10.61328125" style="2" bestFit="1" customWidth="1"/>
    <col min="3" max="3" width="10.61328125" bestFit="1" customWidth="1"/>
    <col min="4" max="4" width="10.86328125" bestFit="1" customWidth="1"/>
    <col min="7" max="7" width="21.60546875" bestFit="1" customWidth="1"/>
    <col min="8" max="8" width="10.61328125" bestFit="1" customWidth="1"/>
    <col min="9" max="9" width="11.36328125" bestFit="1" customWidth="1"/>
    <col min="10" max="10" width="9.1171875" customWidth="1"/>
  </cols>
  <sheetData>
    <row r="1" spans="1:10" x14ac:dyDescent="0.15">
      <c r="A1" t="s">
        <v>33</v>
      </c>
      <c r="B1" s="2" t="s">
        <v>34</v>
      </c>
      <c r="C1" t="s">
        <v>35</v>
      </c>
      <c r="D1" t="s">
        <v>36</v>
      </c>
      <c r="E1" t="s">
        <v>37</v>
      </c>
      <c r="F1" t="s">
        <v>26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15">
      <c r="A2" t="s">
        <v>50</v>
      </c>
      <c r="B2" s="2">
        <v>45873</v>
      </c>
      <c r="E2">
        <v>1</v>
      </c>
      <c r="F2" t="s">
        <v>51</v>
      </c>
      <c r="G2" t="s">
        <v>52</v>
      </c>
      <c r="H2">
        <v>4000</v>
      </c>
    </row>
    <row r="3" spans="1:10" x14ac:dyDescent="0.15">
      <c r="A3" t="s">
        <v>53</v>
      </c>
      <c r="B3" s="2">
        <v>45877</v>
      </c>
      <c r="D3">
        <v>1383357</v>
      </c>
      <c r="E3">
        <v>2</v>
      </c>
      <c r="F3" t="s">
        <v>51</v>
      </c>
      <c r="G3" t="s">
        <v>54</v>
      </c>
      <c r="H3">
        <v>4000</v>
      </c>
    </row>
    <row r="4" spans="1:10" x14ac:dyDescent="0.15">
      <c r="A4" t="s">
        <v>55</v>
      </c>
      <c r="B4" s="2">
        <v>45877</v>
      </c>
      <c r="C4" t="s">
        <v>56</v>
      </c>
      <c r="D4">
        <v>1383357</v>
      </c>
      <c r="E4">
        <v>3</v>
      </c>
      <c r="F4" t="s">
        <v>57</v>
      </c>
      <c r="G4" t="s">
        <v>58</v>
      </c>
      <c r="I4">
        <v>300</v>
      </c>
      <c r="J4">
        <v>1.5</v>
      </c>
    </row>
    <row r="5" spans="1:10" x14ac:dyDescent="0.15">
      <c r="A5" t="s">
        <v>59</v>
      </c>
      <c r="B5" s="2">
        <v>45882</v>
      </c>
      <c r="C5" t="s">
        <v>56</v>
      </c>
      <c r="D5">
        <v>1383357</v>
      </c>
      <c r="E5">
        <v>4</v>
      </c>
      <c r="F5" t="s">
        <v>60</v>
      </c>
      <c r="G5" t="s">
        <v>58</v>
      </c>
      <c r="I5">
        <v>100</v>
      </c>
      <c r="J5">
        <v>32.5</v>
      </c>
    </row>
    <row r="6" spans="1:10" x14ac:dyDescent="0.15">
      <c r="A6" t="s">
        <v>61</v>
      </c>
      <c r="B6" s="2">
        <v>45883</v>
      </c>
      <c r="C6" t="s">
        <v>56</v>
      </c>
      <c r="D6">
        <v>1383357</v>
      </c>
      <c r="E6">
        <v>5</v>
      </c>
      <c r="F6" t="s">
        <v>57</v>
      </c>
      <c r="G6" t="s">
        <v>58</v>
      </c>
      <c r="I6">
        <v>100</v>
      </c>
      <c r="J6">
        <v>1.53</v>
      </c>
    </row>
    <row r="7" spans="1:10" x14ac:dyDescent="0.15">
      <c r="A7" t="s">
        <v>62</v>
      </c>
      <c r="B7" s="2">
        <v>45937</v>
      </c>
      <c r="C7" t="s">
        <v>56</v>
      </c>
      <c r="D7">
        <v>1383357</v>
      </c>
      <c r="E7">
        <v>6</v>
      </c>
      <c r="F7" t="s">
        <v>57</v>
      </c>
      <c r="G7" t="s">
        <v>58</v>
      </c>
      <c r="I7">
        <v>100</v>
      </c>
      <c r="J7">
        <v>1.43</v>
      </c>
    </row>
    <row r="8" spans="1:10" x14ac:dyDescent="0.15">
      <c r="A8" t="s">
        <v>63</v>
      </c>
      <c r="B8" s="2">
        <v>45947</v>
      </c>
      <c r="C8" t="s">
        <v>56</v>
      </c>
      <c r="E8">
        <v>7</v>
      </c>
      <c r="F8" t="s">
        <v>60</v>
      </c>
      <c r="G8" t="s">
        <v>64</v>
      </c>
      <c r="H8">
        <v>90</v>
      </c>
    </row>
    <row r="9" spans="1:10" x14ac:dyDescent="0.15">
      <c r="A9" t="s">
        <v>65</v>
      </c>
      <c r="B9" s="2">
        <v>46140</v>
      </c>
      <c r="C9" t="s">
        <v>56</v>
      </c>
      <c r="E9">
        <v>8</v>
      </c>
      <c r="F9" t="s">
        <v>60</v>
      </c>
      <c r="G9" t="s">
        <v>64</v>
      </c>
      <c r="H9">
        <v>140</v>
      </c>
    </row>
    <row r="10" spans="1:10" x14ac:dyDescent="0.15">
      <c r="A10" t="s">
        <v>66</v>
      </c>
      <c r="B10" s="2">
        <v>46188</v>
      </c>
      <c r="E10">
        <v>9</v>
      </c>
      <c r="F10" t="s">
        <v>51</v>
      </c>
      <c r="G10" t="s">
        <v>52</v>
      </c>
      <c r="H10">
        <v>4000</v>
      </c>
    </row>
    <row r="11" spans="1:10" x14ac:dyDescent="0.15">
      <c r="A11" t="s">
        <v>67</v>
      </c>
      <c r="B11" s="2">
        <v>46218</v>
      </c>
      <c r="E11">
        <v>10</v>
      </c>
      <c r="F11" t="s">
        <v>51</v>
      </c>
      <c r="G11" t="s">
        <v>52</v>
      </c>
      <c r="H11">
        <v>4000</v>
      </c>
    </row>
    <row r="12" spans="1:10" x14ac:dyDescent="0.15">
      <c r="A12" t="s">
        <v>68</v>
      </c>
      <c r="B12" s="2">
        <v>46249</v>
      </c>
      <c r="E12">
        <v>11</v>
      </c>
      <c r="F12" t="s">
        <v>51</v>
      </c>
      <c r="G12" t="s">
        <v>52</v>
      </c>
      <c r="H12">
        <v>4000</v>
      </c>
    </row>
    <row r="13" spans="1:10" x14ac:dyDescent="0.15">
      <c r="A13" t="s">
        <v>69</v>
      </c>
      <c r="B13" s="2">
        <v>46275</v>
      </c>
      <c r="C13" t="s">
        <v>56</v>
      </c>
      <c r="D13">
        <v>1383357</v>
      </c>
      <c r="E13">
        <v>12</v>
      </c>
      <c r="F13" t="s">
        <v>60</v>
      </c>
      <c r="G13" t="s">
        <v>70</v>
      </c>
      <c r="I13">
        <v>100</v>
      </c>
      <c r="J13">
        <v>41.75</v>
      </c>
    </row>
    <row r="14" spans="1:10" x14ac:dyDescent="0.15">
      <c r="A14" t="s">
        <v>71</v>
      </c>
      <c r="B14" s="2">
        <v>46269</v>
      </c>
      <c r="C14" t="s">
        <v>56</v>
      </c>
      <c r="D14">
        <v>1383357</v>
      </c>
      <c r="E14">
        <v>13</v>
      </c>
      <c r="F14" t="s">
        <v>72</v>
      </c>
      <c r="G14" t="s">
        <v>58</v>
      </c>
      <c r="I14">
        <v>400</v>
      </c>
      <c r="J14">
        <v>10</v>
      </c>
    </row>
    <row r="15" spans="1:10" x14ac:dyDescent="0.15">
      <c r="A15" t="s">
        <v>73</v>
      </c>
      <c r="B15" s="2">
        <v>46276</v>
      </c>
      <c r="C15" t="s">
        <v>56</v>
      </c>
      <c r="E15">
        <v>14</v>
      </c>
      <c r="F15" t="s">
        <v>57</v>
      </c>
      <c r="G15" t="s">
        <v>64</v>
      </c>
      <c r="H15">
        <v>22.5</v>
      </c>
    </row>
    <row r="16" spans="1:10" x14ac:dyDescent="0.15">
      <c r="A16" t="s">
        <v>74</v>
      </c>
      <c r="B16" s="2">
        <v>46281</v>
      </c>
      <c r="E16">
        <v>15</v>
      </c>
      <c r="F16" t="s">
        <v>51</v>
      </c>
      <c r="G16" t="s">
        <v>52</v>
      </c>
      <c r="H16">
        <v>4000</v>
      </c>
    </row>
    <row r="17" spans="1:8" x14ac:dyDescent="0.15">
      <c r="A17" t="s">
        <v>75</v>
      </c>
      <c r="B17" s="2">
        <v>46281</v>
      </c>
      <c r="E17">
        <v>16</v>
      </c>
      <c r="F17" t="s">
        <v>51</v>
      </c>
      <c r="G17" t="s">
        <v>64</v>
      </c>
      <c r="H17">
        <v>91.3</v>
      </c>
    </row>
    <row r="18" spans="1:8" x14ac:dyDescent="0.15">
      <c r="A18" t="s">
        <v>76</v>
      </c>
      <c r="B18" s="2">
        <v>46282</v>
      </c>
      <c r="C18" t="s">
        <v>56</v>
      </c>
      <c r="D18">
        <v>1383357</v>
      </c>
      <c r="E18">
        <v>17</v>
      </c>
      <c r="F18" t="s">
        <v>51</v>
      </c>
      <c r="G18" t="s">
        <v>54</v>
      </c>
      <c r="H18">
        <v>16320.8</v>
      </c>
    </row>
    <row r="19" spans="1:8" x14ac:dyDescent="0.15">
      <c r="A19" t="s">
        <v>77</v>
      </c>
      <c r="B19" s="2">
        <v>46280</v>
      </c>
      <c r="E19">
        <v>18</v>
      </c>
      <c r="F19" t="s">
        <v>51</v>
      </c>
      <c r="G19" t="s">
        <v>52</v>
      </c>
      <c r="H19">
        <v>4000</v>
      </c>
    </row>
  </sheetData>
  <dataValidations count="2">
    <dataValidation allowBlank="1" showInputMessage="1" showErrorMessage="1" sqref="C1" xr:uid="{C161BBB5-0EF5-4B2D-AA88-4533E315BC72}"/>
    <dataValidation type="date" allowBlank="1" showInputMessage="1" showErrorMessage="1" sqref="C2:C4 B1:B4 B5:C30" xr:uid="{17C50C85-92BB-4D7E-941A-62E858FEFA7F}">
      <formula1>36526</formula1>
      <formula2>72716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2</vt:i4>
      </vt:variant>
    </vt:vector>
  </HeadingPairs>
  <TitlesOfParts>
    <vt:vector size="7" baseType="lpstr">
      <vt:lpstr>Dashboard</vt:lpstr>
      <vt:lpstr>Analysis</vt:lpstr>
      <vt:lpstr>Portfolio Statement</vt:lpstr>
      <vt:lpstr>Transaction_Clean</vt:lpstr>
      <vt:lpstr>Transaction_Log</vt:lpstr>
      <vt:lpstr>Cash_Position</vt:lpstr>
      <vt:lpstr>tbl_transactions_Clean1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Thanthai Chanklin</cp:lastModifiedBy>
  <cp:revision/>
  <dcterms:created xsi:type="dcterms:W3CDTF">2026-09-17T16:19:51Z</dcterms:created>
  <dcterms:modified xsi:type="dcterms:W3CDTF">2026-10-14T16:04:37Z</dcterms:modified>
  <cp:category/>
  <cp:contentStatus/>
</cp:coreProperties>
</file>